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urple Merit Assesment\"/>
    </mc:Choice>
  </mc:AlternateContent>
  <xr:revisionPtr revIDLastSave="0" documentId="8_{263FF8D9-5BB8-4FB1-951E-2BECD87595FE}" xr6:coauthVersionLast="47" xr6:coauthVersionMax="47" xr10:uidLastSave="{00000000-0000-0000-0000-000000000000}"/>
  <bookViews>
    <workbookView xWindow="-108" yWindow="-108" windowWidth="23256" windowHeight="13176" firstSheet="3" activeTab="6" xr2:uid="{88FE2D0B-1411-4D63-ADE0-93E51EA927D8}"/>
  </bookViews>
  <sheets>
    <sheet name="Raw_data" sheetId="2" r:id="rId1"/>
    <sheet name="Cleaning_log" sheetId="3" r:id="rId2"/>
    <sheet name="Validation_summary" sheetId="4" r:id="rId3"/>
    <sheet name="Working_Analysis" sheetId="7" r:id="rId4"/>
    <sheet name="Analysis" sheetId="8" r:id="rId5"/>
    <sheet name="Visualization" sheetId="9" r:id="rId6"/>
    <sheet name="Recommendations" sheetId="10" r:id="rId7"/>
  </sheets>
  <definedNames>
    <definedName name="_xlcn.WorksheetConnection_DataAnalystIntern_Shubham_Zarkar_February2026.xlsxurbanthreads_q41" hidden="1">urbanthreads_q4[]</definedName>
    <definedName name="ExternalData_1" localSheetId="0" hidden="1">Raw_data!$A$1:$W$347</definedName>
  </definedNames>
  <calcPr calcId="191029"/>
  <pivotCaches>
    <pivotCache cacheId="0" r:id="rId8"/>
    <pivotCache cacheId="1" r:id="rId9"/>
    <pivotCache cacheId="36"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rbanthreads_q4" name="urbanthreads_q4" connection="WorksheetConnection_Data Analyst Intern_Shubham_Zarkar_February2026.xlsx!urbanthreads_q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29" i="7" l="1"/>
  <c r="G228" i="7"/>
  <c r="C219" i="7"/>
  <c r="C218" i="7"/>
  <c r="C217" i="7"/>
  <c r="C216" i="7"/>
  <c r="C215" i="7"/>
  <c r="G64" i="8"/>
  <c r="G47" i="8"/>
  <c r="G46" i="8"/>
  <c r="G45" i="8"/>
  <c r="G41" i="8"/>
  <c r="G40" i="8"/>
  <c r="L19" i="8" a="1"/>
  <c r="L19" i="8" s="1"/>
  <c r="I19" i="8" a="1"/>
  <c r="I19" i="8" s="1"/>
  <c r="F19" i="8" a="1"/>
  <c r="F19" i="8" s="1"/>
  <c r="J15" i="8"/>
  <c r="J14" i="8"/>
  <c r="J13" i="8"/>
  <c r="J16" i="8" s="1"/>
  <c r="J7" i="8"/>
  <c r="J5" i="8"/>
  <c r="B172" i="7" a="1"/>
  <c r="B172" i="7" s="1"/>
  <c r="D154" i="7" a="1"/>
  <c r="C154" i="7" a="1"/>
  <c r="C154" i="7" s="1"/>
  <c r="B154" i="7" a="1"/>
  <c r="B154" i="7" s="1"/>
  <c r="C102" i="7"/>
  <c r="L48" i="7"/>
  <c r="L47" i="7"/>
  <c r="E51" i="7" s="1"/>
  <c r="I41" i="8" s="1"/>
  <c r="L45" i="7"/>
  <c r="E50" i="7" s="1"/>
  <c r="I40" i="8" s="1"/>
  <c r="L44" i="7"/>
  <c r="E14" i="7"/>
  <c r="E13" i="7"/>
  <c r="AD347" i="2"/>
  <c r="AC347" i="2"/>
  <c r="AB347" i="2"/>
  <c r="Z347" i="2"/>
  <c r="AA347" i="2" s="1"/>
  <c r="Y347" i="2"/>
  <c r="X347" i="2"/>
  <c r="AD346" i="2"/>
  <c r="AC346" i="2"/>
  <c r="AB346" i="2"/>
  <c r="AA346" i="2"/>
  <c r="Z346" i="2"/>
  <c r="Y346" i="2"/>
  <c r="X346" i="2"/>
  <c r="AD345" i="2"/>
  <c r="AC345" i="2"/>
  <c r="AB345" i="2"/>
  <c r="Z345" i="2"/>
  <c r="AA345" i="2" s="1"/>
  <c r="Y345" i="2"/>
  <c r="X345" i="2"/>
  <c r="AD344" i="2"/>
  <c r="AC344" i="2"/>
  <c r="AB344" i="2"/>
  <c r="Z344" i="2"/>
  <c r="AA344" i="2" s="1"/>
  <c r="Y344" i="2"/>
  <c r="X344" i="2"/>
  <c r="AD343" i="2"/>
  <c r="AC343" i="2"/>
  <c r="AB343" i="2"/>
  <c r="Z343" i="2"/>
  <c r="AA343" i="2" s="1"/>
  <c r="Y343" i="2"/>
  <c r="X343" i="2"/>
  <c r="AD342" i="2"/>
  <c r="AC342" i="2"/>
  <c r="AB342" i="2"/>
  <c r="Z342" i="2"/>
  <c r="AA342" i="2" s="1"/>
  <c r="Y342" i="2"/>
  <c r="X342" i="2"/>
  <c r="AD341" i="2"/>
  <c r="AC341" i="2"/>
  <c r="AB341" i="2"/>
  <c r="AA341" i="2"/>
  <c r="Z341" i="2"/>
  <c r="Y341" i="2"/>
  <c r="X341" i="2"/>
  <c r="AD340" i="2"/>
  <c r="AC340" i="2"/>
  <c r="AB340" i="2"/>
  <c r="Z340" i="2"/>
  <c r="AA340" i="2" s="1"/>
  <c r="Y340" i="2"/>
  <c r="X340" i="2"/>
  <c r="AD339" i="2"/>
  <c r="AC339" i="2"/>
  <c r="AB339" i="2"/>
  <c r="Z339" i="2"/>
  <c r="AA339" i="2" s="1"/>
  <c r="Y339" i="2"/>
  <c r="X339" i="2"/>
  <c r="AD338" i="2"/>
  <c r="AC338" i="2"/>
  <c r="AB338" i="2"/>
  <c r="AA338" i="2"/>
  <c r="Z338" i="2"/>
  <c r="Y338" i="2"/>
  <c r="X338" i="2"/>
  <c r="AD337" i="2"/>
  <c r="AC337" i="2"/>
  <c r="AB337" i="2"/>
  <c r="Z337" i="2"/>
  <c r="AA337" i="2" s="1"/>
  <c r="Y337" i="2"/>
  <c r="X337" i="2"/>
  <c r="AD336" i="2"/>
  <c r="AC336" i="2"/>
  <c r="AB336" i="2"/>
  <c r="Z336" i="2"/>
  <c r="AA336" i="2" s="1"/>
  <c r="Y336" i="2"/>
  <c r="X336" i="2"/>
  <c r="AD335" i="2"/>
  <c r="AC335" i="2"/>
  <c r="AB335" i="2"/>
  <c r="Z335" i="2"/>
  <c r="AA335" i="2" s="1"/>
  <c r="Y335" i="2"/>
  <c r="X335" i="2"/>
  <c r="AD334" i="2"/>
  <c r="AC334" i="2"/>
  <c r="AB334" i="2"/>
  <c r="Z334" i="2"/>
  <c r="AA334" i="2" s="1"/>
  <c r="Y334" i="2"/>
  <c r="X334" i="2"/>
  <c r="AD333" i="2"/>
  <c r="AC333" i="2"/>
  <c r="AB333" i="2"/>
  <c r="AA333" i="2"/>
  <c r="Z333" i="2"/>
  <c r="Y333" i="2"/>
  <c r="X333" i="2"/>
  <c r="AD332" i="2"/>
  <c r="AC332" i="2"/>
  <c r="AB332" i="2"/>
  <c r="Z332" i="2"/>
  <c r="AA332" i="2" s="1"/>
  <c r="Y332" i="2"/>
  <c r="X332" i="2"/>
  <c r="AD331" i="2"/>
  <c r="AC331" i="2"/>
  <c r="AB331" i="2"/>
  <c r="Z331" i="2"/>
  <c r="AA331" i="2" s="1"/>
  <c r="Y331" i="2"/>
  <c r="X331" i="2"/>
  <c r="AD330" i="2"/>
  <c r="AC330" i="2"/>
  <c r="AB330" i="2"/>
  <c r="AA330" i="2"/>
  <c r="Z330" i="2"/>
  <c r="Y330" i="2"/>
  <c r="X330" i="2"/>
  <c r="AD329" i="2"/>
  <c r="AC329" i="2"/>
  <c r="AB329" i="2"/>
  <c r="Z329" i="2"/>
  <c r="AA329" i="2" s="1"/>
  <c r="Y329" i="2"/>
  <c r="X329" i="2"/>
  <c r="AD328" i="2"/>
  <c r="AC328" i="2"/>
  <c r="AB328" i="2"/>
  <c r="Z328" i="2"/>
  <c r="AA328" i="2" s="1"/>
  <c r="Y328" i="2"/>
  <c r="X328" i="2"/>
  <c r="AD327" i="2"/>
  <c r="AC327" i="2"/>
  <c r="AB327" i="2"/>
  <c r="Z327" i="2"/>
  <c r="AA327" i="2" s="1"/>
  <c r="Y327" i="2"/>
  <c r="X327" i="2"/>
  <c r="AD326" i="2"/>
  <c r="AC326" i="2"/>
  <c r="AB326" i="2"/>
  <c r="Z326" i="2"/>
  <c r="AA326" i="2" s="1"/>
  <c r="Y326" i="2"/>
  <c r="X326" i="2"/>
  <c r="AD325" i="2"/>
  <c r="AC325" i="2"/>
  <c r="AB325" i="2"/>
  <c r="AA325" i="2"/>
  <c r="Z325" i="2"/>
  <c r="Y325" i="2"/>
  <c r="X325" i="2"/>
  <c r="AD324" i="2"/>
  <c r="AC324" i="2"/>
  <c r="AB324" i="2"/>
  <c r="Z324" i="2"/>
  <c r="AA324" i="2" s="1"/>
  <c r="Y324" i="2"/>
  <c r="X324" i="2"/>
  <c r="AD323" i="2"/>
  <c r="AC323" i="2"/>
  <c r="AB323" i="2"/>
  <c r="Z323" i="2"/>
  <c r="AA323" i="2" s="1"/>
  <c r="Y323" i="2"/>
  <c r="X323" i="2"/>
  <c r="AD322" i="2"/>
  <c r="AC322" i="2"/>
  <c r="AB322" i="2"/>
  <c r="AA322" i="2"/>
  <c r="Z322" i="2"/>
  <c r="Y322" i="2"/>
  <c r="X322" i="2"/>
  <c r="AD321" i="2"/>
  <c r="AC321" i="2"/>
  <c r="AB321" i="2"/>
  <c r="Z321" i="2"/>
  <c r="AA321" i="2" s="1"/>
  <c r="Y321" i="2"/>
  <c r="X321" i="2"/>
  <c r="AD320" i="2"/>
  <c r="AC320" i="2"/>
  <c r="AB320" i="2"/>
  <c r="Z320" i="2"/>
  <c r="AA320" i="2" s="1"/>
  <c r="Y320" i="2"/>
  <c r="X320" i="2"/>
  <c r="AD319" i="2"/>
  <c r="AC319" i="2"/>
  <c r="AB319" i="2"/>
  <c r="Z319" i="2"/>
  <c r="AA319" i="2" s="1"/>
  <c r="Y319" i="2"/>
  <c r="X319" i="2"/>
  <c r="AD318" i="2"/>
  <c r="AC318" i="2"/>
  <c r="AB318" i="2"/>
  <c r="Z318" i="2"/>
  <c r="AA318" i="2" s="1"/>
  <c r="Y318" i="2"/>
  <c r="X318" i="2"/>
  <c r="AD317" i="2"/>
  <c r="AC317" i="2"/>
  <c r="AB317" i="2"/>
  <c r="AA317" i="2"/>
  <c r="Z317" i="2"/>
  <c r="Y317" i="2"/>
  <c r="X317" i="2"/>
  <c r="AD316" i="2"/>
  <c r="AC316" i="2"/>
  <c r="AB316" i="2"/>
  <c r="Z316" i="2"/>
  <c r="AA316" i="2" s="1"/>
  <c r="Y316" i="2"/>
  <c r="X316" i="2"/>
  <c r="AD315" i="2"/>
  <c r="AC315" i="2"/>
  <c r="AB315" i="2"/>
  <c r="Z315" i="2"/>
  <c r="AA315" i="2" s="1"/>
  <c r="Y315" i="2"/>
  <c r="X315" i="2"/>
  <c r="AD314" i="2"/>
  <c r="AC314" i="2"/>
  <c r="AB314" i="2"/>
  <c r="AA314" i="2"/>
  <c r="Z314" i="2"/>
  <c r="Y314" i="2"/>
  <c r="X314" i="2"/>
  <c r="AD313" i="2"/>
  <c r="AC313" i="2"/>
  <c r="AB313" i="2"/>
  <c r="Z313" i="2"/>
  <c r="AA313" i="2" s="1"/>
  <c r="Y313" i="2"/>
  <c r="X313" i="2"/>
  <c r="AD312" i="2"/>
  <c r="AC312" i="2"/>
  <c r="AB312" i="2"/>
  <c r="Z312" i="2"/>
  <c r="AA312" i="2" s="1"/>
  <c r="Y312" i="2"/>
  <c r="X312" i="2"/>
  <c r="AD311" i="2"/>
  <c r="AC311" i="2"/>
  <c r="AB311" i="2"/>
  <c r="Z311" i="2"/>
  <c r="AA311" i="2" s="1"/>
  <c r="Y311" i="2"/>
  <c r="X311" i="2"/>
  <c r="AD310" i="2"/>
  <c r="AC310" i="2"/>
  <c r="AB310" i="2"/>
  <c r="Z310" i="2"/>
  <c r="AA310" i="2" s="1"/>
  <c r="Y310" i="2"/>
  <c r="X310" i="2"/>
  <c r="AD309" i="2"/>
  <c r="AC309" i="2"/>
  <c r="AB309" i="2"/>
  <c r="AA309" i="2"/>
  <c r="Z309" i="2"/>
  <c r="Y309" i="2"/>
  <c r="X309" i="2"/>
  <c r="AD308" i="2"/>
  <c r="AC308" i="2"/>
  <c r="AB308" i="2"/>
  <c r="Z308" i="2"/>
  <c r="AA308" i="2" s="1"/>
  <c r="Y308" i="2"/>
  <c r="X308" i="2"/>
  <c r="AD307" i="2"/>
  <c r="AC307" i="2"/>
  <c r="AB307" i="2"/>
  <c r="Z307" i="2"/>
  <c r="AA307" i="2" s="1"/>
  <c r="Y307" i="2"/>
  <c r="X307" i="2"/>
  <c r="AD306" i="2"/>
  <c r="AC306" i="2"/>
  <c r="AB306" i="2"/>
  <c r="AA306" i="2"/>
  <c r="Z306" i="2"/>
  <c r="Y306" i="2"/>
  <c r="X306" i="2"/>
  <c r="AD305" i="2"/>
  <c r="AC305" i="2"/>
  <c r="AB305" i="2"/>
  <c r="Z305" i="2"/>
  <c r="AA305" i="2" s="1"/>
  <c r="Y305" i="2"/>
  <c r="X305" i="2"/>
  <c r="AD304" i="2"/>
  <c r="AC304" i="2"/>
  <c r="AB304" i="2"/>
  <c r="Z304" i="2"/>
  <c r="AA304" i="2" s="1"/>
  <c r="Y304" i="2"/>
  <c r="X304" i="2"/>
  <c r="AD303" i="2"/>
  <c r="AC303" i="2"/>
  <c r="AB303" i="2"/>
  <c r="Z303" i="2"/>
  <c r="AA303" i="2" s="1"/>
  <c r="Y303" i="2"/>
  <c r="X303" i="2"/>
  <c r="AD302" i="2"/>
  <c r="AC302" i="2"/>
  <c r="AB302" i="2"/>
  <c r="Z302" i="2"/>
  <c r="AA302" i="2" s="1"/>
  <c r="Y302" i="2"/>
  <c r="X302" i="2"/>
  <c r="AD301" i="2"/>
  <c r="AC301" i="2"/>
  <c r="AB301" i="2"/>
  <c r="AA301" i="2"/>
  <c r="Z301" i="2"/>
  <c r="Y301" i="2"/>
  <c r="X301" i="2"/>
  <c r="AD300" i="2"/>
  <c r="AC300" i="2"/>
  <c r="AB300" i="2"/>
  <c r="Z300" i="2"/>
  <c r="AA300" i="2" s="1"/>
  <c r="Y300" i="2"/>
  <c r="X300" i="2"/>
  <c r="AD299" i="2"/>
  <c r="AC299" i="2"/>
  <c r="AB299" i="2"/>
  <c r="Z299" i="2"/>
  <c r="AA299" i="2" s="1"/>
  <c r="Y299" i="2"/>
  <c r="X299" i="2"/>
  <c r="AD298" i="2"/>
  <c r="AC298" i="2"/>
  <c r="AB298" i="2"/>
  <c r="AA298" i="2"/>
  <c r="Z298" i="2"/>
  <c r="Y298" i="2"/>
  <c r="X298" i="2"/>
  <c r="AD297" i="2"/>
  <c r="AC297" i="2"/>
  <c r="AB297" i="2"/>
  <c r="Z297" i="2"/>
  <c r="AA297" i="2" s="1"/>
  <c r="Y297" i="2"/>
  <c r="X297" i="2"/>
  <c r="AD296" i="2"/>
  <c r="AC296" i="2"/>
  <c r="AB296" i="2"/>
  <c r="Z296" i="2"/>
  <c r="AA296" i="2" s="1"/>
  <c r="Y296" i="2"/>
  <c r="X296" i="2"/>
  <c r="AD295" i="2"/>
  <c r="AC295" i="2"/>
  <c r="AB295" i="2"/>
  <c r="Z295" i="2"/>
  <c r="AA295" i="2" s="1"/>
  <c r="Y295" i="2"/>
  <c r="X295" i="2"/>
  <c r="AD294" i="2"/>
  <c r="AC294" i="2"/>
  <c r="AB294" i="2"/>
  <c r="Z294" i="2"/>
  <c r="AA294" i="2" s="1"/>
  <c r="Y294" i="2"/>
  <c r="X294" i="2"/>
  <c r="AD293" i="2"/>
  <c r="AC293" i="2"/>
  <c r="AB293" i="2"/>
  <c r="AA293" i="2"/>
  <c r="Z293" i="2"/>
  <c r="Y293" i="2"/>
  <c r="X293" i="2"/>
  <c r="AD292" i="2"/>
  <c r="AC292" i="2"/>
  <c r="AB292" i="2"/>
  <c r="Z292" i="2"/>
  <c r="AA292" i="2" s="1"/>
  <c r="Y292" i="2"/>
  <c r="X292" i="2"/>
  <c r="AD291" i="2"/>
  <c r="AC291" i="2"/>
  <c r="AB291" i="2"/>
  <c r="Z291" i="2"/>
  <c r="AA291" i="2" s="1"/>
  <c r="Y291" i="2"/>
  <c r="X291" i="2"/>
  <c r="AD290" i="2"/>
  <c r="AC290" i="2"/>
  <c r="AB290" i="2"/>
  <c r="AA290" i="2"/>
  <c r="Z290" i="2"/>
  <c r="Y290" i="2"/>
  <c r="X290" i="2"/>
  <c r="AD289" i="2"/>
  <c r="AC289" i="2"/>
  <c r="AB289" i="2"/>
  <c r="Z289" i="2"/>
  <c r="AA289" i="2" s="1"/>
  <c r="Y289" i="2"/>
  <c r="X289" i="2"/>
  <c r="AD288" i="2"/>
  <c r="AC288" i="2"/>
  <c r="AB288" i="2"/>
  <c r="Z288" i="2"/>
  <c r="AA288" i="2" s="1"/>
  <c r="Y288" i="2"/>
  <c r="X288" i="2"/>
  <c r="AD287" i="2"/>
  <c r="AC287" i="2"/>
  <c r="AB287" i="2"/>
  <c r="AA287" i="2"/>
  <c r="Z287" i="2"/>
  <c r="Y287" i="2"/>
  <c r="X287" i="2"/>
  <c r="AD286" i="2"/>
  <c r="AC286" i="2"/>
  <c r="AB286" i="2"/>
  <c r="Z286" i="2"/>
  <c r="AA286" i="2" s="1"/>
  <c r="Y286" i="2"/>
  <c r="X286" i="2"/>
  <c r="AD285" i="2"/>
  <c r="AC285" i="2"/>
  <c r="AB285" i="2"/>
  <c r="AA285" i="2"/>
  <c r="Z285" i="2"/>
  <c r="Y285" i="2"/>
  <c r="X285" i="2"/>
  <c r="AD284" i="2"/>
  <c r="AC284" i="2"/>
  <c r="AB284" i="2"/>
  <c r="Z284" i="2"/>
  <c r="AA284" i="2" s="1"/>
  <c r="Y284" i="2"/>
  <c r="X284" i="2"/>
  <c r="AD283" i="2"/>
  <c r="AC283" i="2"/>
  <c r="AB283" i="2"/>
  <c r="Z283" i="2"/>
  <c r="AA283" i="2" s="1"/>
  <c r="Y283" i="2"/>
  <c r="X283" i="2"/>
  <c r="AD282" i="2"/>
  <c r="AC282" i="2"/>
  <c r="AB282" i="2"/>
  <c r="AA282" i="2"/>
  <c r="Z282" i="2"/>
  <c r="Y282" i="2"/>
  <c r="X282" i="2"/>
  <c r="AD281" i="2"/>
  <c r="AC281" i="2"/>
  <c r="AB281" i="2"/>
  <c r="Z281" i="2"/>
  <c r="AA281" i="2" s="1"/>
  <c r="Y281" i="2"/>
  <c r="X281" i="2"/>
  <c r="AD280" i="2"/>
  <c r="AC280" i="2"/>
  <c r="AB280" i="2"/>
  <c r="Z280" i="2"/>
  <c r="AA280" i="2" s="1"/>
  <c r="Y280" i="2"/>
  <c r="X280" i="2"/>
  <c r="AD279" i="2"/>
  <c r="AC279" i="2"/>
  <c r="AB279" i="2"/>
  <c r="Z279" i="2"/>
  <c r="AA279" i="2" s="1"/>
  <c r="Y279" i="2"/>
  <c r="X279" i="2"/>
  <c r="AD278" i="2"/>
  <c r="AC278" i="2"/>
  <c r="AB278" i="2"/>
  <c r="Z278" i="2"/>
  <c r="AA278" i="2" s="1"/>
  <c r="Y278" i="2"/>
  <c r="X278" i="2"/>
  <c r="AD277" i="2"/>
  <c r="AC277" i="2"/>
  <c r="AB277" i="2"/>
  <c r="AA277" i="2"/>
  <c r="Z277" i="2"/>
  <c r="Y277" i="2"/>
  <c r="X277" i="2"/>
  <c r="AD276" i="2"/>
  <c r="AC276" i="2"/>
  <c r="AB276" i="2"/>
  <c r="Z276" i="2"/>
  <c r="AA276" i="2" s="1"/>
  <c r="Y276" i="2"/>
  <c r="X276" i="2"/>
  <c r="AD275" i="2"/>
  <c r="AC275" i="2"/>
  <c r="AB275" i="2"/>
  <c r="Z275" i="2"/>
  <c r="AA275" i="2" s="1"/>
  <c r="Y275" i="2"/>
  <c r="X275" i="2"/>
  <c r="AD274" i="2"/>
  <c r="AC274" i="2"/>
  <c r="AB274" i="2"/>
  <c r="AA274" i="2"/>
  <c r="Z274" i="2"/>
  <c r="Y274" i="2"/>
  <c r="X274" i="2"/>
  <c r="AD273" i="2"/>
  <c r="AC273" i="2"/>
  <c r="AB273" i="2"/>
  <c r="Z273" i="2"/>
  <c r="AA273" i="2" s="1"/>
  <c r="Y273" i="2"/>
  <c r="X273" i="2"/>
  <c r="AD272" i="2"/>
  <c r="AC272" i="2"/>
  <c r="AB272" i="2"/>
  <c r="Z272" i="2"/>
  <c r="AA272" i="2" s="1"/>
  <c r="Y272" i="2"/>
  <c r="X272" i="2"/>
  <c r="AD271" i="2"/>
  <c r="AC271" i="2"/>
  <c r="AB271" i="2"/>
  <c r="Z271" i="2"/>
  <c r="AA271" i="2" s="1"/>
  <c r="Y271" i="2"/>
  <c r="X271" i="2"/>
  <c r="AD270" i="2"/>
  <c r="AC270" i="2"/>
  <c r="AB270" i="2"/>
  <c r="Z270" i="2"/>
  <c r="AA270" i="2" s="1"/>
  <c r="Y270" i="2"/>
  <c r="X270" i="2"/>
  <c r="AD269" i="2"/>
  <c r="AC269" i="2"/>
  <c r="AB269" i="2"/>
  <c r="AA269" i="2"/>
  <c r="Z269" i="2"/>
  <c r="Y269" i="2"/>
  <c r="X269" i="2"/>
  <c r="AD268" i="2"/>
  <c r="AC268" i="2"/>
  <c r="AB268" i="2"/>
  <c r="Z268" i="2"/>
  <c r="AA268" i="2" s="1"/>
  <c r="Y268" i="2"/>
  <c r="X268" i="2"/>
  <c r="AD267" i="2"/>
  <c r="AC267" i="2"/>
  <c r="AB267" i="2"/>
  <c r="Z267" i="2"/>
  <c r="AA267" i="2" s="1"/>
  <c r="Y267" i="2"/>
  <c r="X267" i="2"/>
  <c r="AD266" i="2"/>
  <c r="AC266" i="2"/>
  <c r="AB266" i="2"/>
  <c r="AA266" i="2"/>
  <c r="Z266" i="2"/>
  <c r="Y266" i="2"/>
  <c r="X266" i="2"/>
  <c r="AD265" i="2"/>
  <c r="AC265" i="2"/>
  <c r="AB265" i="2"/>
  <c r="Z265" i="2"/>
  <c r="AA265" i="2" s="1"/>
  <c r="Y265" i="2"/>
  <c r="X265" i="2"/>
  <c r="AD264" i="2"/>
  <c r="AC264" i="2"/>
  <c r="AB264" i="2"/>
  <c r="Z264" i="2"/>
  <c r="AA264" i="2" s="1"/>
  <c r="Y264" i="2"/>
  <c r="X264" i="2"/>
  <c r="AD263" i="2"/>
  <c r="AC263" i="2"/>
  <c r="AB263" i="2"/>
  <c r="Z263" i="2"/>
  <c r="AA263" i="2" s="1"/>
  <c r="Y263" i="2"/>
  <c r="X263" i="2"/>
  <c r="AD262" i="2"/>
  <c r="AC262" i="2"/>
  <c r="AB262" i="2"/>
  <c r="Z262" i="2"/>
  <c r="AA262" i="2" s="1"/>
  <c r="Y262" i="2"/>
  <c r="X262" i="2"/>
  <c r="AD261" i="2"/>
  <c r="AC261" i="2"/>
  <c r="AB261" i="2"/>
  <c r="AA261" i="2"/>
  <c r="Z261" i="2"/>
  <c r="Y261" i="2"/>
  <c r="X261" i="2"/>
  <c r="AD260" i="2"/>
  <c r="AC260" i="2"/>
  <c r="AB260" i="2"/>
  <c r="Z260" i="2"/>
  <c r="AA260" i="2" s="1"/>
  <c r="Y260" i="2"/>
  <c r="X260" i="2"/>
  <c r="AD259" i="2"/>
  <c r="AC259" i="2"/>
  <c r="AB259" i="2"/>
  <c r="Z259" i="2"/>
  <c r="AA259" i="2" s="1"/>
  <c r="Y259" i="2"/>
  <c r="X259" i="2"/>
  <c r="AD258" i="2"/>
  <c r="AC258" i="2"/>
  <c r="AB258" i="2"/>
  <c r="AA258" i="2"/>
  <c r="Z258" i="2"/>
  <c r="Y258" i="2"/>
  <c r="X258" i="2"/>
  <c r="AD257" i="2"/>
  <c r="AC257" i="2"/>
  <c r="AB257" i="2"/>
  <c r="Z257" i="2"/>
  <c r="AA257" i="2" s="1"/>
  <c r="Y257" i="2"/>
  <c r="X257" i="2"/>
  <c r="AD256" i="2"/>
  <c r="AC256" i="2"/>
  <c r="AB256" i="2"/>
  <c r="Z256" i="2"/>
  <c r="AA256" i="2" s="1"/>
  <c r="Y256" i="2"/>
  <c r="X256" i="2"/>
  <c r="AD255" i="2"/>
  <c r="AC255" i="2"/>
  <c r="AB255" i="2"/>
  <c r="Z255" i="2"/>
  <c r="AA255" i="2" s="1"/>
  <c r="Y255" i="2"/>
  <c r="X255" i="2"/>
  <c r="AD254" i="2"/>
  <c r="AC254" i="2"/>
  <c r="AB254" i="2"/>
  <c r="Z254" i="2"/>
  <c r="AA254" i="2" s="1"/>
  <c r="Y254" i="2"/>
  <c r="X254" i="2"/>
  <c r="AD253" i="2"/>
  <c r="AC253" i="2"/>
  <c r="AB253" i="2"/>
  <c r="AA253" i="2"/>
  <c r="Z253" i="2"/>
  <c r="Y253" i="2"/>
  <c r="X253" i="2"/>
  <c r="AD252" i="2"/>
  <c r="AC252" i="2"/>
  <c r="AB252" i="2"/>
  <c r="Z252" i="2"/>
  <c r="AA252" i="2" s="1"/>
  <c r="Y252" i="2"/>
  <c r="X252" i="2"/>
  <c r="AD251" i="2"/>
  <c r="AC251" i="2"/>
  <c r="AB251" i="2"/>
  <c r="Z251" i="2"/>
  <c r="AA251" i="2" s="1"/>
  <c r="Y251" i="2"/>
  <c r="X251" i="2"/>
  <c r="AD250" i="2"/>
  <c r="AC250" i="2"/>
  <c r="AB250" i="2"/>
  <c r="AA250" i="2"/>
  <c r="Z250" i="2"/>
  <c r="Y250" i="2"/>
  <c r="X250" i="2"/>
  <c r="AD249" i="2"/>
  <c r="AC249" i="2"/>
  <c r="AB249" i="2"/>
  <c r="Z249" i="2"/>
  <c r="AA249" i="2" s="1"/>
  <c r="Y249" i="2"/>
  <c r="X249" i="2"/>
  <c r="AD248" i="2"/>
  <c r="AC248" i="2"/>
  <c r="AB248" i="2"/>
  <c r="Z248" i="2"/>
  <c r="AA248" i="2" s="1"/>
  <c r="Y248" i="2"/>
  <c r="X248" i="2"/>
  <c r="AD247" i="2"/>
  <c r="AC247" i="2"/>
  <c r="AB247" i="2"/>
  <c r="AA247" i="2"/>
  <c r="Z247" i="2"/>
  <c r="Y247" i="2"/>
  <c r="X247" i="2"/>
  <c r="AD246" i="2"/>
  <c r="AC246" i="2"/>
  <c r="AB246" i="2"/>
  <c r="Z246" i="2"/>
  <c r="AA246" i="2" s="1"/>
  <c r="Y246" i="2"/>
  <c r="X246" i="2"/>
  <c r="AD245" i="2"/>
  <c r="AC245" i="2"/>
  <c r="AB245" i="2"/>
  <c r="AA245" i="2"/>
  <c r="Z245" i="2"/>
  <c r="Y245" i="2"/>
  <c r="X245" i="2"/>
  <c r="AD244" i="2"/>
  <c r="AC244" i="2"/>
  <c r="AB244" i="2"/>
  <c r="Z244" i="2"/>
  <c r="AA244" i="2" s="1"/>
  <c r="Y244" i="2"/>
  <c r="X244" i="2"/>
  <c r="AD243" i="2"/>
  <c r="AC243" i="2"/>
  <c r="AB243" i="2"/>
  <c r="Z243" i="2"/>
  <c r="AA243" i="2" s="1"/>
  <c r="Y243" i="2"/>
  <c r="X243" i="2"/>
  <c r="AD242" i="2"/>
  <c r="AC242" i="2"/>
  <c r="AB242" i="2"/>
  <c r="AA242" i="2"/>
  <c r="Z242" i="2"/>
  <c r="Y242" i="2"/>
  <c r="X242" i="2"/>
  <c r="AD241" i="2"/>
  <c r="AC241" i="2"/>
  <c r="AB241" i="2"/>
  <c r="Z241" i="2"/>
  <c r="AA241" i="2" s="1"/>
  <c r="Y241" i="2"/>
  <c r="X241" i="2"/>
  <c r="AD240" i="2"/>
  <c r="AC240" i="2"/>
  <c r="AB240" i="2"/>
  <c r="Z240" i="2"/>
  <c r="AA240" i="2" s="1"/>
  <c r="Y240" i="2"/>
  <c r="X240" i="2"/>
  <c r="AD239" i="2"/>
  <c r="AC239" i="2"/>
  <c r="AB239" i="2"/>
  <c r="AA239" i="2"/>
  <c r="Z239" i="2"/>
  <c r="Y239" i="2"/>
  <c r="X239" i="2"/>
  <c r="AD238" i="2"/>
  <c r="AC238" i="2"/>
  <c r="AB238" i="2"/>
  <c r="Z238" i="2"/>
  <c r="AA238" i="2" s="1"/>
  <c r="Y238" i="2"/>
  <c r="X238" i="2"/>
  <c r="AD237" i="2"/>
  <c r="AC237" i="2"/>
  <c r="AB237" i="2"/>
  <c r="AA237" i="2"/>
  <c r="Z237" i="2"/>
  <c r="Y237" i="2"/>
  <c r="X237" i="2"/>
  <c r="AD236" i="2"/>
  <c r="AC236" i="2"/>
  <c r="AB236" i="2"/>
  <c r="Z236" i="2"/>
  <c r="AA236" i="2" s="1"/>
  <c r="Y236" i="2"/>
  <c r="X236" i="2"/>
  <c r="AD235" i="2"/>
  <c r="AC235" i="2"/>
  <c r="AB235" i="2"/>
  <c r="Z235" i="2"/>
  <c r="AA235" i="2" s="1"/>
  <c r="Y235" i="2"/>
  <c r="X235" i="2"/>
  <c r="AD234" i="2"/>
  <c r="AC234" i="2"/>
  <c r="AB234" i="2"/>
  <c r="AA234" i="2"/>
  <c r="Z234" i="2"/>
  <c r="Y234" i="2"/>
  <c r="X234" i="2"/>
  <c r="AD233" i="2"/>
  <c r="AC233" i="2"/>
  <c r="AB233" i="2"/>
  <c r="Z233" i="2"/>
  <c r="AA233" i="2" s="1"/>
  <c r="Y233" i="2"/>
  <c r="X233" i="2"/>
  <c r="AD232" i="2"/>
  <c r="AC232" i="2"/>
  <c r="AB232" i="2"/>
  <c r="Z232" i="2"/>
  <c r="AA232" i="2" s="1"/>
  <c r="Y232" i="2"/>
  <c r="X232" i="2"/>
  <c r="AD231" i="2"/>
  <c r="AC231" i="2"/>
  <c r="AB231" i="2"/>
  <c r="AA231" i="2"/>
  <c r="Z231" i="2"/>
  <c r="Y231" i="2"/>
  <c r="X231" i="2"/>
  <c r="AD230" i="2"/>
  <c r="AC230" i="2"/>
  <c r="AB230" i="2"/>
  <c r="Z230" i="2"/>
  <c r="AA230" i="2" s="1"/>
  <c r="Y230" i="2"/>
  <c r="X230" i="2"/>
  <c r="AD229" i="2"/>
  <c r="AC229" i="2"/>
  <c r="AB229" i="2"/>
  <c r="AA229" i="2"/>
  <c r="Z229" i="2"/>
  <c r="Y229" i="2"/>
  <c r="X229" i="2"/>
  <c r="AD228" i="2"/>
  <c r="AC228" i="2"/>
  <c r="AB228" i="2"/>
  <c r="Z228" i="2"/>
  <c r="AA228" i="2" s="1"/>
  <c r="Y228" i="2"/>
  <c r="X228" i="2"/>
  <c r="AD227" i="2"/>
  <c r="AC227" i="2"/>
  <c r="AB227" i="2"/>
  <c r="Z227" i="2"/>
  <c r="AA227" i="2" s="1"/>
  <c r="Y227" i="2"/>
  <c r="X227" i="2"/>
  <c r="AD226" i="2"/>
  <c r="AC226" i="2"/>
  <c r="AB226" i="2"/>
  <c r="AA226" i="2"/>
  <c r="Z226" i="2"/>
  <c r="Y226" i="2"/>
  <c r="X226" i="2"/>
  <c r="AD225" i="2"/>
  <c r="AC225" i="2"/>
  <c r="AB225" i="2"/>
  <c r="Z225" i="2"/>
  <c r="AA225" i="2" s="1"/>
  <c r="Y225" i="2"/>
  <c r="X225" i="2"/>
  <c r="AD224" i="2"/>
  <c r="AC224" i="2"/>
  <c r="AB224" i="2"/>
  <c r="Z224" i="2"/>
  <c r="AA224" i="2" s="1"/>
  <c r="Y224" i="2"/>
  <c r="X224" i="2"/>
  <c r="AD223" i="2"/>
  <c r="AC223" i="2"/>
  <c r="AB223" i="2"/>
  <c r="AA223" i="2"/>
  <c r="Z223" i="2"/>
  <c r="Y223" i="2"/>
  <c r="X223" i="2"/>
  <c r="AD222" i="2"/>
  <c r="AC222" i="2"/>
  <c r="AB222" i="2"/>
  <c r="Z222" i="2"/>
  <c r="AA222" i="2" s="1"/>
  <c r="Y222" i="2"/>
  <c r="X222" i="2"/>
  <c r="AD221" i="2"/>
  <c r="AC221" i="2"/>
  <c r="AB221" i="2"/>
  <c r="AA221" i="2"/>
  <c r="Z221" i="2"/>
  <c r="Y221" i="2"/>
  <c r="X221" i="2"/>
  <c r="AD220" i="2"/>
  <c r="AC220" i="2"/>
  <c r="AB220" i="2"/>
  <c r="Z220" i="2"/>
  <c r="AA220" i="2" s="1"/>
  <c r="Y220" i="2"/>
  <c r="X220" i="2"/>
  <c r="AD219" i="2"/>
  <c r="AC219" i="2"/>
  <c r="AB219" i="2"/>
  <c r="Z219" i="2"/>
  <c r="AA219" i="2" s="1"/>
  <c r="Y219" i="2"/>
  <c r="X219" i="2"/>
  <c r="AD218" i="2"/>
  <c r="AC218" i="2"/>
  <c r="AB218" i="2"/>
  <c r="AA218" i="2"/>
  <c r="Z218" i="2"/>
  <c r="Y218" i="2"/>
  <c r="X218" i="2"/>
  <c r="AD217" i="2"/>
  <c r="AC217" i="2"/>
  <c r="AB217" i="2"/>
  <c r="Z217" i="2"/>
  <c r="AA217" i="2" s="1"/>
  <c r="Y217" i="2"/>
  <c r="X217" i="2"/>
  <c r="AD216" i="2"/>
  <c r="AC216" i="2"/>
  <c r="AB216" i="2"/>
  <c r="Z216" i="2"/>
  <c r="AA216" i="2" s="1"/>
  <c r="Y216" i="2"/>
  <c r="X216" i="2"/>
  <c r="AD215" i="2"/>
  <c r="AC215" i="2"/>
  <c r="AB215" i="2"/>
  <c r="AA215" i="2"/>
  <c r="Z215" i="2"/>
  <c r="Y215" i="2"/>
  <c r="X215" i="2"/>
  <c r="AD214" i="2"/>
  <c r="AC214" i="2"/>
  <c r="AB214" i="2"/>
  <c r="Z214" i="2"/>
  <c r="AA214" i="2" s="1"/>
  <c r="Y214" i="2"/>
  <c r="X214" i="2"/>
  <c r="AD213" i="2"/>
  <c r="AC213" i="2"/>
  <c r="AB213" i="2"/>
  <c r="AA213" i="2"/>
  <c r="Z213" i="2"/>
  <c r="Y213" i="2"/>
  <c r="X213" i="2"/>
  <c r="AD212" i="2"/>
  <c r="AC212" i="2"/>
  <c r="AB212" i="2"/>
  <c r="Z212" i="2"/>
  <c r="AA212" i="2" s="1"/>
  <c r="Y212" i="2"/>
  <c r="X212" i="2"/>
  <c r="AD211" i="2"/>
  <c r="AC211" i="2"/>
  <c r="AB211" i="2"/>
  <c r="Z211" i="2"/>
  <c r="AA211" i="2" s="1"/>
  <c r="Y211" i="2"/>
  <c r="X211" i="2"/>
  <c r="AD210" i="2"/>
  <c r="AC210" i="2"/>
  <c r="AB210" i="2"/>
  <c r="AA210" i="2"/>
  <c r="Z210" i="2"/>
  <c r="Y210" i="2"/>
  <c r="X210" i="2"/>
  <c r="AD209" i="2"/>
  <c r="AC209" i="2"/>
  <c r="AB209" i="2"/>
  <c r="Z209" i="2"/>
  <c r="AA209" i="2" s="1"/>
  <c r="Y209" i="2"/>
  <c r="X209" i="2"/>
  <c r="AD208" i="2"/>
  <c r="AC208" i="2"/>
  <c r="AB208" i="2"/>
  <c r="Z208" i="2"/>
  <c r="AA208" i="2" s="1"/>
  <c r="Y208" i="2"/>
  <c r="X208" i="2"/>
  <c r="AD207" i="2"/>
  <c r="AC207" i="2"/>
  <c r="AB207" i="2"/>
  <c r="AA207" i="2"/>
  <c r="Z207" i="2"/>
  <c r="Y207" i="2"/>
  <c r="X207" i="2"/>
  <c r="AD206" i="2"/>
  <c r="AC206" i="2"/>
  <c r="AB206" i="2"/>
  <c r="Z206" i="2"/>
  <c r="AA206" i="2" s="1"/>
  <c r="Y206" i="2"/>
  <c r="X206" i="2"/>
  <c r="AD205" i="2"/>
  <c r="AC205" i="2"/>
  <c r="AB205" i="2"/>
  <c r="AA205" i="2"/>
  <c r="Z205" i="2"/>
  <c r="Y205" i="2"/>
  <c r="X205" i="2"/>
  <c r="AD204" i="2"/>
  <c r="AC204" i="2"/>
  <c r="AB204" i="2"/>
  <c r="Z204" i="2"/>
  <c r="AA204" i="2" s="1"/>
  <c r="Y204" i="2"/>
  <c r="X204" i="2"/>
  <c r="AD203" i="2"/>
  <c r="AC203" i="2"/>
  <c r="AB203" i="2"/>
  <c r="Z203" i="2"/>
  <c r="AA203" i="2" s="1"/>
  <c r="Y203" i="2"/>
  <c r="X203" i="2"/>
  <c r="AD202" i="2"/>
  <c r="AC202" i="2"/>
  <c r="AB202" i="2"/>
  <c r="AA202" i="2"/>
  <c r="Z202" i="2"/>
  <c r="Y202" i="2"/>
  <c r="X202" i="2"/>
  <c r="AD201" i="2"/>
  <c r="AC201" i="2"/>
  <c r="AB201" i="2"/>
  <c r="Z201" i="2"/>
  <c r="AA201" i="2" s="1"/>
  <c r="Y201" i="2"/>
  <c r="X201" i="2"/>
  <c r="AD200" i="2"/>
  <c r="AC200" i="2"/>
  <c r="AB200" i="2"/>
  <c r="Z200" i="2"/>
  <c r="AA200" i="2" s="1"/>
  <c r="Y200" i="2"/>
  <c r="X200" i="2"/>
  <c r="AD199" i="2"/>
  <c r="AC199" i="2"/>
  <c r="AB199" i="2"/>
  <c r="AA199" i="2"/>
  <c r="Z199" i="2"/>
  <c r="Y199" i="2"/>
  <c r="X199" i="2"/>
  <c r="AD198" i="2"/>
  <c r="AC198" i="2"/>
  <c r="AB198" i="2"/>
  <c r="Z198" i="2"/>
  <c r="AA198" i="2" s="1"/>
  <c r="Y198" i="2"/>
  <c r="X198" i="2"/>
  <c r="AD197" i="2"/>
  <c r="AC197" i="2"/>
  <c r="AB197" i="2"/>
  <c r="AA197" i="2"/>
  <c r="Z197" i="2"/>
  <c r="Y197" i="2"/>
  <c r="X197" i="2"/>
  <c r="AD196" i="2"/>
  <c r="AC196" i="2"/>
  <c r="AB196" i="2"/>
  <c r="Z196" i="2"/>
  <c r="AA196" i="2" s="1"/>
  <c r="Y196" i="2"/>
  <c r="X196" i="2"/>
  <c r="AD195" i="2"/>
  <c r="AC195" i="2"/>
  <c r="AB195" i="2"/>
  <c r="Z195" i="2"/>
  <c r="AA195" i="2" s="1"/>
  <c r="Y195" i="2"/>
  <c r="X195" i="2"/>
  <c r="AD194" i="2"/>
  <c r="AC194" i="2"/>
  <c r="AB194" i="2"/>
  <c r="AA194" i="2"/>
  <c r="Z194" i="2"/>
  <c r="Y194" i="2"/>
  <c r="X194" i="2"/>
  <c r="AD193" i="2"/>
  <c r="AC193" i="2"/>
  <c r="AB193" i="2"/>
  <c r="Z193" i="2"/>
  <c r="AA193" i="2" s="1"/>
  <c r="Y193" i="2"/>
  <c r="X193" i="2"/>
  <c r="AD192" i="2"/>
  <c r="AC192" i="2"/>
  <c r="AB192" i="2"/>
  <c r="Z192" i="2"/>
  <c r="AA192" i="2" s="1"/>
  <c r="Y192" i="2"/>
  <c r="X192" i="2"/>
  <c r="AD191" i="2"/>
  <c r="AC191" i="2"/>
  <c r="AB191" i="2"/>
  <c r="AA191" i="2"/>
  <c r="Z191" i="2"/>
  <c r="Y191" i="2"/>
  <c r="X191" i="2"/>
  <c r="AD190" i="2"/>
  <c r="AC190" i="2"/>
  <c r="AB190" i="2"/>
  <c r="Z190" i="2"/>
  <c r="AA190" i="2" s="1"/>
  <c r="Y190" i="2"/>
  <c r="X190" i="2"/>
  <c r="AD189" i="2"/>
  <c r="AC189" i="2"/>
  <c r="AB189" i="2"/>
  <c r="AA189" i="2"/>
  <c r="Z189" i="2"/>
  <c r="Y189" i="2"/>
  <c r="X189" i="2"/>
  <c r="AD188" i="2"/>
  <c r="AC188" i="2"/>
  <c r="AB188" i="2"/>
  <c r="Z188" i="2"/>
  <c r="AA188" i="2" s="1"/>
  <c r="Y188" i="2"/>
  <c r="X188" i="2"/>
  <c r="AD187" i="2"/>
  <c r="AC187" i="2"/>
  <c r="AB187" i="2"/>
  <c r="Z187" i="2"/>
  <c r="AA187" i="2" s="1"/>
  <c r="Y187" i="2"/>
  <c r="X187" i="2"/>
  <c r="AD186" i="2"/>
  <c r="AC186" i="2"/>
  <c r="AB186" i="2"/>
  <c r="AA186" i="2"/>
  <c r="Z186" i="2"/>
  <c r="Y186" i="2"/>
  <c r="X186" i="2"/>
  <c r="AD185" i="2"/>
  <c r="AC185" i="2"/>
  <c r="AB185" i="2"/>
  <c r="Z185" i="2"/>
  <c r="AA185" i="2" s="1"/>
  <c r="Y185" i="2"/>
  <c r="X185" i="2"/>
  <c r="AD184" i="2"/>
  <c r="AC184" i="2"/>
  <c r="AB184" i="2"/>
  <c r="Z184" i="2"/>
  <c r="AA184" i="2" s="1"/>
  <c r="Y184" i="2"/>
  <c r="X184" i="2"/>
  <c r="AD183" i="2"/>
  <c r="AC183" i="2"/>
  <c r="AB183" i="2"/>
  <c r="AA183" i="2"/>
  <c r="Z183" i="2"/>
  <c r="Y183" i="2"/>
  <c r="X183" i="2"/>
  <c r="AD182" i="2"/>
  <c r="AC182" i="2"/>
  <c r="AB182" i="2"/>
  <c r="Z182" i="2"/>
  <c r="AA182" i="2" s="1"/>
  <c r="Y182" i="2"/>
  <c r="X182" i="2"/>
  <c r="AD181" i="2"/>
  <c r="AC181" i="2"/>
  <c r="AB181" i="2"/>
  <c r="AA181" i="2"/>
  <c r="Z181" i="2"/>
  <c r="Y181" i="2"/>
  <c r="X181" i="2"/>
  <c r="AD180" i="2"/>
  <c r="AC180" i="2"/>
  <c r="AB180" i="2"/>
  <c r="Z180" i="2"/>
  <c r="AA180" i="2" s="1"/>
  <c r="Y180" i="2"/>
  <c r="X180" i="2"/>
  <c r="AD179" i="2"/>
  <c r="AC179" i="2"/>
  <c r="AB179" i="2"/>
  <c r="Z179" i="2"/>
  <c r="AA179" i="2" s="1"/>
  <c r="Y179" i="2"/>
  <c r="X179" i="2"/>
  <c r="AD178" i="2"/>
  <c r="AC178" i="2"/>
  <c r="AB178" i="2"/>
  <c r="AA178" i="2"/>
  <c r="Z178" i="2"/>
  <c r="Y178" i="2"/>
  <c r="X178" i="2"/>
  <c r="AD177" i="2"/>
  <c r="AC177" i="2"/>
  <c r="AB177" i="2"/>
  <c r="Z177" i="2"/>
  <c r="AA177" i="2" s="1"/>
  <c r="Y177" i="2"/>
  <c r="X177" i="2"/>
  <c r="AD176" i="2"/>
  <c r="AC176" i="2"/>
  <c r="AB176" i="2"/>
  <c r="Z176" i="2"/>
  <c r="AA176" i="2" s="1"/>
  <c r="Y176" i="2"/>
  <c r="X176" i="2"/>
  <c r="AD175" i="2"/>
  <c r="AC175" i="2"/>
  <c r="AB175" i="2"/>
  <c r="AA175" i="2"/>
  <c r="Z175" i="2"/>
  <c r="Y175" i="2"/>
  <c r="X175" i="2"/>
  <c r="AD174" i="2"/>
  <c r="AC174" i="2"/>
  <c r="AB174" i="2"/>
  <c r="Z174" i="2"/>
  <c r="AA174" i="2" s="1"/>
  <c r="Y174" i="2"/>
  <c r="X174" i="2"/>
  <c r="AD173" i="2"/>
  <c r="AC173" i="2"/>
  <c r="AB173" i="2"/>
  <c r="AA173" i="2"/>
  <c r="Z173" i="2"/>
  <c r="Y173" i="2"/>
  <c r="X173" i="2"/>
  <c r="AD172" i="2"/>
  <c r="AC172" i="2"/>
  <c r="AB172" i="2"/>
  <c r="Z172" i="2"/>
  <c r="AA172" i="2" s="1"/>
  <c r="Y172" i="2"/>
  <c r="X172" i="2"/>
  <c r="AD171" i="2"/>
  <c r="AC171" i="2"/>
  <c r="AB171" i="2"/>
  <c r="Z171" i="2"/>
  <c r="AA171" i="2" s="1"/>
  <c r="Y171" i="2"/>
  <c r="X171" i="2"/>
  <c r="AD170" i="2"/>
  <c r="AC170" i="2"/>
  <c r="AB170" i="2"/>
  <c r="AA170" i="2"/>
  <c r="Z170" i="2"/>
  <c r="Y170" i="2"/>
  <c r="X170" i="2"/>
  <c r="AD169" i="2"/>
  <c r="AC169" i="2"/>
  <c r="AB169" i="2"/>
  <c r="Z169" i="2"/>
  <c r="AA169" i="2" s="1"/>
  <c r="Y169" i="2"/>
  <c r="X169" i="2"/>
  <c r="AD168" i="2"/>
  <c r="AC168" i="2"/>
  <c r="AB168" i="2"/>
  <c r="Z168" i="2"/>
  <c r="AA168" i="2" s="1"/>
  <c r="Y168" i="2"/>
  <c r="X168" i="2"/>
  <c r="AD167" i="2"/>
  <c r="AC167" i="2"/>
  <c r="AB167" i="2"/>
  <c r="AA167" i="2"/>
  <c r="Z167" i="2"/>
  <c r="Y167" i="2"/>
  <c r="X167" i="2"/>
  <c r="AD166" i="2"/>
  <c r="AC166" i="2"/>
  <c r="AB166" i="2"/>
  <c r="Z166" i="2"/>
  <c r="AA166" i="2" s="1"/>
  <c r="Y166" i="2"/>
  <c r="X166" i="2"/>
  <c r="AD165" i="2"/>
  <c r="AC165" i="2"/>
  <c r="AB165" i="2"/>
  <c r="AA165" i="2"/>
  <c r="Z165" i="2"/>
  <c r="Y165" i="2"/>
  <c r="X165" i="2"/>
  <c r="AD164" i="2"/>
  <c r="AC164" i="2"/>
  <c r="AB164" i="2"/>
  <c r="Z164" i="2"/>
  <c r="AA164" i="2" s="1"/>
  <c r="Y164" i="2"/>
  <c r="X164" i="2"/>
  <c r="AD163" i="2"/>
  <c r="AC163" i="2"/>
  <c r="AB163" i="2"/>
  <c r="Z163" i="2"/>
  <c r="AA163" i="2" s="1"/>
  <c r="Y163" i="2"/>
  <c r="X163" i="2"/>
  <c r="AD162" i="2"/>
  <c r="AC162" i="2"/>
  <c r="AB162" i="2"/>
  <c r="AA162" i="2"/>
  <c r="Z162" i="2"/>
  <c r="Y162" i="2"/>
  <c r="X162" i="2"/>
  <c r="AD161" i="2"/>
  <c r="AC161" i="2"/>
  <c r="AB161" i="2"/>
  <c r="Z161" i="2"/>
  <c r="AA161" i="2" s="1"/>
  <c r="Y161" i="2"/>
  <c r="X161" i="2"/>
  <c r="AD160" i="2"/>
  <c r="AC160" i="2"/>
  <c r="AB160" i="2"/>
  <c r="Z160" i="2"/>
  <c r="AA160" i="2" s="1"/>
  <c r="Y160" i="2"/>
  <c r="X160" i="2"/>
  <c r="AD159" i="2"/>
  <c r="AC159" i="2"/>
  <c r="AB159" i="2"/>
  <c r="AA159" i="2"/>
  <c r="Z159" i="2"/>
  <c r="Y159" i="2"/>
  <c r="X159" i="2"/>
  <c r="AD158" i="2"/>
  <c r="AC158" i="2"/>
  <c r="AB158" i="2"/>
  <c r="Z158" i="2"/>
  <c r="AA158" i="2" s="1"/>
  <c r="Y158" i="2"/>
  <c r="X158" i="2"/>
  <c r="AD157" i="2"/>
  <c r="AC157" i="2"/>
  <c r="AB157" i="2"/>
  <c r="AA157" i="2"/>
  <c r="Z157" i="2"/>
  <c r="Y157" i="2"/>
  <c r="X157" i="2"/>
  <c r="AD156" i="2"/>
  <c r="AC156" i="2"/>
  <c r="AB156" i="2"/>
  <c r="Z156" i="2"/>
  <c r="AA156" i="2" s="1"/>
  <c r="Y156" i="2"/>
  <c r="X156" i="2"/>
  <c r="AD155" i="2"/>
  <c r="AC155" i="2"/>
  <c r="AB155" i="2"/>
  <c r="Z155" i="2"/>
  <c r="AA155" i="2" s="1"/>
  <c r="Y155" i="2"/>
  <c r="X155" i="2"/>
  <c r="AD154" i="2"/>
  <c r="AC154" i="2"/>
  <c r="AB154" i="2"/>
  <c r="AA154" i="2"/>
  <c r="Z154" i="2"/>
  <c r="Y154" i="2"/>
  <c r="X154" i="2"/>
  <c r="AD153" i="2"/>
  <c r="AC153" i="2"/>
  <c r="AB153" i="2"/>
  <c r="Z153" i="2"/>
  <c r="AA153" i="2" s="1"/>
  <c r="Y153" i="2"/>
  <c r="X153" i="2"/>
  <c r="AD152" i="2"/>
  <c r="AC152" i="2"/>
  <c r="AB152" i="2"/>
  <c r="Z152" i="2"/>
  <c r="AA152" i="2" s="1"/>
  <c r="Y152" i="2"/>
  <c r="X152" i="2"/>
  <c r="AD151" i="2"/>
  <c r="AC151" i="2"/>
  <c r="AB151" i="2"/>
  <c r="AA151" i="2"/>
  <c r="Z151" i="2"/>
  <c r="Y151" i="2"/>
  <c r="X151" i="2"/>
  <c r="AD150" i="2"/>
  <c r="AC150" i="2"/>
  <c r="AB150" i="2"/>
  <c r="Z150" i="2"/>
  <c r="AA150" i="2" s="1"/>
  <c r="Y150" i="2"/>
  <c r="X150" i="2"/>
  <c r="AD149" i="2"/>
  <c r="AC149" i="2"/>
  <c r="AB149" i="2"/>
  <c r="AA149" i="2"/>
  <c r="Z149" i="2"/>
  <c r="Y149" i="2"/>
  <c r="X149" i="2"/>
  <c r="AD148" i="2"/>
  <c r="AC148" i="2"/>
  <c r="AB148" i="2"/>
  <c r="Z148" i="2"/>
  <c r="AA148" i="2" s="1"/>
  <c r="Y148" i="2"/>
  <c r="X148" i="2"/>
  <c r="AD147" i="2"/>
  <c r="AC147" i="2"/>
  <c r="AB147" i="2"/>
  <c r="Z147" i="2"/>
  <c r="AA147" i="2" s="1"/>
  <c r="Y147" i="2"/>
  <c r="X147" i="2"/>
  <c r="AD146" i="2"/>
  <c r="AC146" i="2"/>
  <c r="AB146" i="2"/>
  <c r="AA146" i="2"/>
  <c r="Z146" i="2"/>
  <c r="Y146" i="2"/>
  <c r="X146" i="2"/>
  <c r="AD145" i="2"/>
  <c r="AC145" i="2"/>
  <c r="AB145" i="2"/>
  <c r="Z145" i="2"/>
  <c r="AA145" i="2" s="1"/>
  <c r="Y145" i="2"/>
  <c r="X145" i="2"/>
  <c r="AD144" i="2"/>
  <c r="AC144" i="2"/>
  <c r="AB144" i="2"/>
  <c r="Z144" i="2"/>
  <c r="AA144" i="2" s="1"/>
  <c r="Y144" i="2"/>
  <c r="X144" i="2"/>
  <c r="AD143" i="2"/>
  <c r="AC143" i="2"/>
  <c r="AB143" i="2"/>
  <c r="AA143" i="2"/>
  <c r="Z143" i="2"/>
  <c r="Y143" i="2"/>
  <c r="X143" i="2"/>
  <c r="AD142" i="2"/>
  <c r="AC142" i="2"/>
  <c r="AB142" i="2"/>
  <c r="Z142" i="2"/>
  <c r="AA142" i="2" s="1"/>
  <c r="Y142" i="2"/>
  <c r="X142" i="2"/>
  <c r="AD141" i="2"/>
  <c r="AC141" i="2"/>
  <c r="AB141" i="2"/>
  <c r="AA141" i="2"/>
  <c r="Z141" i="2"/>
  <c r="Y141" i="2"/>
  <c r="X141" i="2"/>
  <c r="AD140" i="2"/>
  <c r="AC140" i="2"/>
  <c r="AB140" i="2"/>
  <c r="Z140" i="2"/>
  <c r="AA140" i="2" s="1"/>
  <c r="Y140" i="2"/>
  <c r="X140" i="2"/>
  <c r="AD139" i="2"/>
  <c r="AC139" i="2"/>
  <c r="AB139" i="2"/>
  <c r="Z139" i="2"/>
  <c r="AA139" i="2" s="1"/>
  <c r="Y139" i="2"/>
  <c r="X139" i="2"/>
  <c r="AD138" i="2"/>
  <c r="AC138" i="2"/>
  <c r="AB138" i="2"/>
  <c r="AA138" i="2"/>
  <c r="Z138" i="2"/>
  <c r="Y138" i="2"/>
  <c r="X138" i="2"/>
  <c r="AD137" i="2"/>
  <c r="AC137" i="2"/>
  <c r="AB137" i="2"/>
  <c r="Z137" i="2"/>
  <c r="AA137" i="2" s="1"/>
  <c r="Y137" i="2"/>
  <c r="X137" i="2"/>
  <c r="AD136" i="2"/>
  <c r="AC136" i="2"/>
  <c r="AB136" i="2"/>
  <c r="Z136" i="2"/>
  <c r="AA136" i="2" s="1"/>
  <c r="Y136" i="2"/>
  <c r="X136" i="2"/>
  <c r="AD135" i="2"/>
  <c r="AC135" i="2"/>
  <c r="AB135" i="2"/>
  <c r="AA135" i="2"/>
  <c r="Z135" i="2"/>
  <c r="Y135" i="2"/>
  <c r="X135" i="2"/>
  <c r="AD134" i="2"/>
  <c r="AC134" i="2"/>
  <c r="AB134" i="2"/>
  <c r="Z134" i="2"/>
  <c r="AA134" i="2" s="1"/>
  <c r="Y134" i="2"/>
  <c r="X134" i="2"/>
  <c r="AD133" i="2"/>
  <c r="AC133" i="2"/>
  <c r="AB133" i="2"/>
  <c r="AA133" i="2"/>
  <c r="Z133" i="2"/>
  <c r="Y133" i="2"/>
  <c r="X133" i="2"/>
  <c r="AD132" i="2"/>
  <c r="AC132" i="2"/>
  <c r="AB132" i="2"/>
  <c r="Z132" i="2"/>
  <c r="AA132" i="2" s="1"/>
  <c r="Y132" i="2"/>
  <c r="X132" i="2"/>
  <c r="AD131" i="2"/>
  <c r="AC131" i="2"/>
  <c r="AB131" i="2"/>
  <c r="Z131" i="2"/>
  <c r="AA131" i="2" s="1"/>
  <c r="Y131" i="2"/>
  <c r="X131" i="2"/>
  <c r="AD130" i="2"/>
  <c r="AC130" i="2"/>
  <c r="AB130" i="2"/>
  <c r="AA130" i="2"/>
  <c r="Z130" i="2"/>
  <c r="Y130" i="2"/>
  <c r="X130" i="2"/>
  <c r="AD129" i="2"/>
  <c r="AC129" i="2"/>
  <c r="AB129" i="2"/>
  <c r="Z129" i="2"/>
  <c r="AA129" i="2" s="1"/>
  <c r="Y129" i="2"/>
  <c r="X129" i="2"/>
  <c r="AD128" i="2"/>
  <c r="AC128" i="2"/>
  <c r="AB128" i="2"/>
  <c r="Z128" i="2"/>
  <c r="AA128" i="2" s="1"/>
  <c r="Y128" i="2"/>
  <c r="X128" i="2"/>
  <c r="AD127" i="2"/>
  <c r="AC127" i="2"/>
  <c r="AB127" i="2"/>
  <c r="AA127" i="2"/>
  <c r="Z127" i="2"/>
  <c r="Y127" i="2"/>
  <c r="X127" i="2"/>
  <c r="AD126" i="2"/>
  <c r="AC126" i="2"/>
  <c r="AB126" i="2"/>
  <c r="Z126" i="2"/>
  <c r="AA126" i="2" s="1"/>
  <c r="Y126" i="2"/>
  <c r="X126" i="2"/>
  <c r="AD125" i="2"/>
  <c r="AC125" i="2"/>
  <c r="AB125" i="2"/>
  <c r="AA125" i="2"/>
  <c r="Z125" i="2"/>
  <c r="Y125" i="2"/>
  <c r="X125" i="2"/>
  <c r="AD124" i="2"/>
  <c r="AC124" i="2"/>
  <c r="AB124" i="2"/>
  <c r="Z124" i="2"/>
  <c r="AA124" i="2" s="1"/>
  <c r="Y124" i="2"/>
  <c r="X124" i="2"/>
  <c r="AD123" i="2"/>
  <c r="AC123" i="2"/>
  <c r="AB123" i="2"/>
  <c r="Z123" i="2"/>
  <c r="AA123" i="2" s="1"/>
  <c r="Y123" i="2"/>
  <c r="X123" i="2"/>
  <c r="AD122" i="2"/>
  <c r="AC122" i="2"/>
  <c r="AB122" i="2"/>
  <c r="AA122" i="2"/>
  <c r="Z122" i="2"/>
  <c r="Y122" i="2"/>
  <c r="X122" i="2"/>
  <c r="AD121" i="2"/>
  <c r="AC121" i="2"/>
  <c r="AB121" i="2"/>
  <c r="Z121" i="2"/>
  <c r="AA121" i="2" s="1"/>
  <c r="Y121" i="2"/>
  <c r="X121" i="2"/>
  <c r="AD120" i="2"/>
  <c r="AC120" i="2"/>
  <c r="AB120" i="2"/>
  <c r="Z120" i="2"/>
  <c r="AA120" i="2" s="1"/>
  <c r="Y120" i="2"/>
  <c r="X120" i="2"/>
  <c r="AD119" i="2"/>
  <c r="AC119" i="2"/>
  <c r="AB119" i="2"/>
  <c r="AA119" i="2"/>
  <c r="Z119" i="2"/>
  <c r="Y119" i="2"/>
  <c r="X119" i="2"/>
  <c r="AD118" i="2"/>
  <c r="AC118" i="2"/>
  <c r="AB118" i="2"/>
  <c r="Z118" i="2"/>
  <c r="AA118" i="2" s="1"/>
  <c r="Y118" i="2"/>
  <c r="X118" i="2"/>
  <c r="AD117" i="2"/>
  <c r="AC117" i="2"/>
  <c r="AB117" i="2"/>
  <c r="AA117" i="2"/>
  <c r="Z117" i="2"/>
  <c r="Y117" i="2"/>
  <c r="X117" i="2"/>
  <c r="AD116" i="2"/>
  <c r="AC116" i="2"/>
  <c r="AB116" i="2"/>
  <c r="Z116" i="2"/>
  <c r="AA116" i="2" s="1"/>
  <c r="Y116" i="2"/>
  <c r="X116" i="2"/>
  <c r="AD115" i="2"/>
  <c r="AC115" i="2"/>
  <c r="AB115" i="2"/>
  <c r="Z115" i="2"/>
  <c r="AA115" i="2" s="1"/>
  <c r="Y115" i="2"/>
  <c r="X115" i="2"/>
  <c r="AD114" i="2"/>
  <c r="AC114" i="2"/>
  <c r="AB114" i="2"/>
  <c r="AA114" i="2"/>
  <c r="Z114" i="2"/>
  <c r="Y114" i="2"/>
  <c r="X114" i="2"/>
  <c r="AD113" i="2"/>
  <c r="AC113" i="2"/>
  <c r="AB113" i="2"/>
  <c r="Z113" i="2"/>
  <c r="AA113" i="2" s="1"/>
  <c r="Y113" i="2"/>
  <c r="X113" i="2"/>
  <c r="AD112" i="2"/>
  <c r="AC112" i="2"/>
  <c r="AB112" i="2"/>
  <c r="Z112" i="2"/>
  <c r="AA112" i="2" s="1"/>
  <c r="Y112" i="2"/>
  <c r="X112" i="2"/>
  <c r="AD111" i="2"/>
  <c r="AC111" i="2"/>
  <c r="AB111" i="2"/>
  <c r="AA111" i="2"/>
  <c r="Z111" i="2"/>
  <c r="Y111" i="2"/>
  <c r="X111" i="2"/>
  <c r="AD110" i="2"/>
  <c r="AC110" i="2"/>
  <c r="AB110" i="2"/>
  <c r="Z110" i="2"/>
  <c r="AA110" i="2" s="1"/>
  <c r="Y110" i="2"/>
  <c r="X110" i="2"/>
  <c r="AD109" i="2"/>
  <c r="AC109" i="2"/>
  <c r="AB109" i="2"/>
  <c r="AA109" i="2"/>
  <c r="Z109" i="2"/>
  <c r="Y109" i="2"/>
  <c r="X109" i="2"/>
  <c r="AD108" i="2"/>
  <c r="AC108" i="2"/>
  <c r="AB108" i="2"/>
  <c r="Z108" i="2"/>
  <c r="AA108" i="2" s="1"/>
  <c r="Y108" i="2"/>
  <c r="X108" i="2"/>
  <c r="AD107" i="2"/>
  <c r="AC107" i="2"/>
  <c r="AB107" i="2"/>
  <c r="Z107" i="2"/>
  <c r="AA107" i="2" s="1"/>
  <c r="Y107" i="2"/>
  <c r="X107" i="2"/>
  <c r="AD106" i="2"/>
  <c r="AC106" i="2"/>
  <c r="AB106" i="2"/>
  <c r="AA106" i="2"/>
  <c r="Z106" i="2"/>
  <c r="Y106" i="2"/>
  <c r="X106" i="2"/>
  <c r="AD105" i="2"/>
  <c r="AC105" i="2"/>
  <c r="AB105" i="2"/>
  <c r="Z105" i="2"/>
  <c r="AA105" i="2" s="1"/>
  <c r="Y105" i="2"/>
  <c r="X105" i="2"/>
  <c r="AD104" i="2"/>
  <c r="AC104" i="2"/>
  <c r="AB104" i="2"/>
  <c r="Z104" i="2"/>
  <c r="AA104" i="2" s="1"/>
  <c r="Y104" i="2"/>
  <c r="X104" i="2"/>
  <c r="AD103" i="2"/>
  <c r="AC103" i="2"/>
  <c r="AB103" i="2"/>
  <c r="AA103" i="2"/>
  <c r="Z103" i="2"/>
  <c r="Y103" i="2"/>
  <c r="X103" i="2"/>
  <c r="AD102" i="2"/>
  <c r="AC102" i="2"/>
  <c r="AB102" i="2"/>
  <c r="Z102" i="2"/>
  <c r="AA102" i="2" s="1"/>
  <c r="Y102" i="2"/>
  <c r="X102" i="2"/>
  <c r="AD101" i="2"/>
  <c r="AC101" i="2"/>
  <c r="AB101" i="2"/>
  <c r="AA101" i="2"/>
  <c r="Z101" i="2"/>
  <c r="Y101" i="2"/>
  <c r="X101" i="2"/>
  <c r="AD100" i="2"/>
  <c r="AC100" i="2"/>
  <c r="AB100" i="2"/>
  <c r="Z100" i="2"/>
  <c r="AA100" i="2" s="1"/>
  <c r="Y100" i="2"/>
  <c r="X100" i="2"/>
  <c r="AD99" i="2"/>
  <c r="AC99" i="2"/>
  <c r="AB99" i="2"/>
  <c r="Z99" i="2"/>
  <c r="AA99" i="2" s="1"/>
  <c r="Y99" i="2"/>
  <c r="X99" i="2"/>
  <c r="AD98" i="2"/>
  <c r="AC98" i="2"/>
  <c r="AB98" i="2"/>
  <c r="AA98" i="2"/>
  <c r="Z98" i="2"/>
  <c r="Y98" i="2"/>
  <c r="X98" i="2"/>
  <c r="AD97" i="2"/>
  <c r="AC97" i="2"/>
  <c r="AB97" i="2"/>
  <c r="Z97" i="2"/>
  <c r="AA97" i="2" s="1"/>
  <c r="Y97" i="2"/>
  <c r="X97" i="2"/>
  <c r="AD96" i="2"/>
  <c r="AC96" i="2"/>
  <c r="AB96" i="2"/>
  <c r="Z96" i="2"/>
  <c r="AA96" i="2" s="1"/>
  <c r="Y96" i="2"/>
  <c r="X96" i="2"/>
  <c r="AD95" i="2"/>
  <c r="AC95" i="2"/>
  <c r="AB95" i="2"/>
  <c r="AA95" i="2"/>
  <c r="Z95" i="2"/>
  <c r="Y95" i="2"/>
  <c r="X95" i="2"/>
  <c r="AD94" i="2"/>
  <c r="AC94" i="2"/>
  <c r="AB94" i="2"/>
  <c r="Z94" i="2"/>
  <c r="AA94" i="2" s="1"/>
  <c r="Y94" i="2"/>
  <c r="X94" i="2"/>
  <c r="AD93" i="2"/>
  <c r="AC93" i="2"/>
  <c r="AB93" i="2"/>
  <c r="AA93" i="2"/>
  <c r="Z93" i="2"/>
  <c r="Y93" i="2"/>
  <c r="X93" i="2"/>
  <c r="AD92" i="2"/>
  <c r="AC92" i="2"/>
  <c r="AB92" i="2"/>
  <c r="Z92" i="2"/>
  <c r="AA92" i="2" s="1"/>
  <c r="Y92" i="2"/>
  <c r="X92" i="2"/>
  <c r="AD91" i="2"/>
  <c r="AC91" i="2"/>
  <c r="AB91" i="2"/>
  <c r="Z91" i="2"/>
  <c r="AA91" i="2" s="1"/>
  <c r="Y91" i="2"/>
  <c r="X91" i="2"/>
  <c r="AD90" i="2"/>
  <c r="AC90" i="2"/>
  <c r="AB90" i="2"/>
  <c r="AA90" i="2"/>
  <c r="Z90" i="2"/>
  <c r="Y90" i="2"/>
  <c r="X90" i="2"/>
  <c r="AD89" i="2"/>
  <c r="AC89" i="2"/>
  <c r="AB89" i="2"/>
  <c r="Z89" i="2"/>
  <c r="AA89" i="2" s="1"/>
  <c r="Y89" i="2"/>
  <c r="X89" i="2"/>
  <c r="AD88" i="2"/>
  <c r="AC88" i="2"/>
  <c r="AB88" i="2"/>
  <c r="Z88" i="2"/>
  <c r="AA88" i="2" s="1"/>
  <c r="Y88" i="2"/>
  <c r="X88" i="2"/>
  <c r="AD87" i="2"/>
  <c r="AC87" i="2"/>
  <c r="AB87" i="2"/>
  <c r="AA87" i="2"/>
  <c r="Z87" i="2"/>
  <c r="Y87" i="2"/>
  <c r="X87" i="2"/>
  <c r="AD86" i="2"/>
  <c r="AC86" i="2"/>
  <c r="AB86" i="2"/>
  <c r="Z86" i="2"/>
  <c r="AA86" i="2" s="1"/>
  <c r="Y86" i="2"/>
  <c r="X86" i="2"/>
  <c r="AD85" i="2"/>
  <c r="AC85" i="2"/>
  <c r="AB85" i="2"/>
  <c r="AA85" i="2"/>
  <c r="Z85" i="2"/>
  <c r="Y85" i="2"/>
  <c r="X85" i="2"/>
  <c r="AD84" i="2"/>
  <c r="AC84" i="2"/>
  <c r="AB84" i="2"/>
  <c r="Z84" i="2"/>
  <c r="AA84" i="2" s="1"/>
  <c r="Y84" i="2"/>
  <c r="X84" i="2"/>
  <c r="AD83" i="2"/>
  <c r="AC83" i="2"/>
  <c r="AB83" i="2"/>
  <c r="Z83" i="2"/>
  <c r="AA83" i="2" s="1"/>
  <c r="Y83" i="2"/>
  <c r="X83" i="2"/>
  <c r="AD82" i="2"/>
  <c r="AC82" i="2"/>
  <c r="AB82" i="2"/>
  <c r="AA82" i="2"/>
  <c r="Z82" i="2"/>
  <c r="Y82" i="2"/>
  <c r="X82" i="2"/>
  <c r="AD81" i="2"/>
  <c r="AC81" i="2"/>
  <c r="AB81" i="2"/>
  <c r="Z81" i="2"/>
  <c r="AA81" i="2" s="1"/>
  <c r="Y81" i="2"/>
  <c r="X81" i="2"/>
  <c r="AD80" i="2"/>
  <c r="AC80" i="2"/>
  <c r="AB80" i="2"/>
  <c r="Z80" i="2"/>
  <c r="AA80" i="2" s="1"/>
  <c r="Y80" i="2"/>
  <c r="X80" i="2"/>
  <c r="AD79" i="2"/>
  <c r="AC79" i="2"/>
  <c r="AB79" i="2"/>
  <c r="AA79" i="2"/>
  <c r="Z79" i="2"/>
  <c r="Y79" i="2"/>
  <c r="X79" i="2"/>
  <c r="AD78" i="2"/>
  <c r="AC78" i="2"/>
  <c r="AB78" i="2"/>
  <c r="Z78" i="2"/>
  <c r="AA78" i="2" s="1"/>
  <c r="Y78" i="2"/>
  <c r="X78" i="2"/>
  <c r="AD77" i="2"/>
  <c r="AC77" i="2"/>
  <c r="AB77" i="2"/>
  <c r="AA77" i="2"/>
  <c r="Z77" i="2"/>
  <c r="Y77" i="2"/>
  <c r="X77" i="2"/>
  <c r="AD76" i="2"/>
  <c r="AC76" i="2"/>
  <c r="AB76" i="2"/>
  <c r="Z76" i="2"/>
  <c r="AA76" i="2" s="1"/>
  <c r="Y76" i="2"/>
  <c r="X76" i="2"/>
  <c r="AD75" i="2"/>
  <c r="AC75" i="2"/>
  <c r="AB75" i="2"/>
  <c r="Z75" i="2"/>
  <c r="AA75" i="2" s="1"/>
  <c r="Y75" i="2"/>
  <c r="X75" i="2"/>
  <c r="AD74" i="2"/>
  <c r="AC74" i="2"/>
  <c r="AB74" i="2"/>
  <c r="AA74" i="2"/>
  <c r="Z74" i="2"/>
  <c r="Y74" i="2"/>
  <c r="X74" i="2"/>
  <c r="AD73" i="2"/>
  <c r="AC73" i="2"/>
  <c r="AB73" i="2"/>
  <c r="Z73" i="2"/>
  <c r="AA73" i="2" s="1"/>
  <c r="Y73" i="2"/>
  <c r="X73" i="2"/>
  <c r="AD72" i="2"/>
  <c r="AC72" i="2"/>
  <c r="AB72" i="2"/>
  <c r="Z72" i="2"/>
  <c r="AA72" i="2" s="1"/>
  <c r="Y72" i="2"/>
  <c r="X72" i="2"/>
  <c r="AD71" i="2"/>
  <c r="AC71" i="2"/>
  <c r="AB71" i="2"/>
  <c r="AA71" i="2"/>
  <c r="Z71" i="2"/>
  <c r="Y71" i="2"/>
  <c r="X71" i="2"/>
  <c r="AD70" i="2"/>
  <c r="AC70" i="2"/>
  <c r="AB70" i="2"/>
  <c r="Z70" i="2"/>
  <c r="AA70" i="2" s="1"/>
  <c r="Y70" i="2"/>
  <c r="X70" i="2"/>
  <c r="AD69" i="2"/>
  <c r="AC69" i="2"/>
  <c r="AB69" i="2"/>
  <c r="AA69" i="2"/>
  <c r="Z69" i="2"/>
  <c r="Y69" i="2"/>
  <c r="X69" i="2"/>
  <c r="AD68" i="2"/>
  <c r="AC68" i="2"/>
  <c r="AB68" i="2"/>
  <c r="Z68" i="2"/>
  <c r="AA68" i="2" s="1"/>
  <c r="Y68" i="2"/>
  <c r="X68" i="2"/>
  <c r="AD67" i="2"/>
  <c r="AC67" i="2"/>
  <c r="AB67" i="2"/>
  <c r="Z67" i="2"/>
  <c r="AA67" i="2" s="1"/>
  <c r="Y67" i="2"/>
  <c r="X67" i="2"/>
  <c r="AD66" i="2"/>
  <c r="AC66" i="2"/>
  <c r="AB66" i="2"/>
  <c r="AA66" i="2"/>
  <c r="Z66" i="2"/>
  <c r="Y66" i="2"/>
  <c r="X66" i="2"/>
  <c r="AD65" i="2"/>
  <c r="AC65" i="2"/>
  <c r="AB65" i="2"/>
  <c r="Z65" i="2"/>
  <c r="AA65" i="2" s="1"/>
  <c r="Y65" i="2"/>
  <c r="X65" i="2"/>
  <c r="AD64" i="2"/>
  <c r="AC64" i="2"/>
  <c r="AB64" i="2"/>
  <c r="Z64" i="2"/>
  <c r="AA64" i="2" s="1"/>
  <c r="Y64" i="2"/>
  <c r="X64" i="2"/>
  <c r="AD63" i="2"/>
  <c r="AC63" i="2"/>
  <c r="AB63" i="2"/>
  <c r="AA63" i="2"/>
  <c r="Z63" i="2"/>
  <c r="Y63" i="2"/>
  <c r="X63" i="2"/>
  <c r="AD62" i="2"/>
  <c r="AC62" i="2"/>
  <c r="AB62" i="2"/>
  <c r="Z62" i="2"/>
  <c r="AA62" i="2" s="1"/>
  <c r="Y62" i="2"/>
  <c r="X62" i="2"/>
  <c r="AD61" i="2"/>
  <c r="AC61" i="2"/>
  <c r="AB61" i="2"/>
  <c r="AA61" i="2"/>
  <c r="Z61" i="2"/>
  <c r="Y61" i="2"/>
  <c r="X61" i="2"/>
  <c r="AD60" i="2"/>
  <c r="AC60" i="2"/>
  <c r="AB60" i="2"/>
  <c r="Z60" i="2"/>
  <c r="AA60" i="2" s="1"/>
  <c r="Y60" i="2"/>
  <c r="X60" i="2"/>
  <c r="AD59" i="2"/>
  <c r="AC59" i="2"/>
  <c r="AB59" i="2"/>
  <c r="Z59" i="2"/>
  <c r="AA59" i="2" s="1"/>
  <c r="Y59" i="2"/>
  <c r="X59" i="2"/>
  <c r="AD58" i="2"/>
  <c r="AC58" i="2"/>
  <c r="AB58" i="2"/>
  <c r="AA58" i="2"/>
  <c r="Z58" i="2"/>
  <c r="Y58" i="2"/>
  <c r="X58" i="2"/>
  <c r="AD57" i="2"/>
  <c r="AC57" i="2"/>
  <c r="AB57" i="2"/>
  <c r="Z57" i="2"/>
  <c r="AA57" i="2" s="1"/>
  <c r="Y57" i="2"/>
  <c r="X57" i="2"/>
  <c r="AD56" i="2"/>
  <c r="AC56" i="2"/>
  <c r="AB56" i="2"/>
  <c r="Z56" i="2"/>
  <c r="AA56" i="2" s="1"/>
  <c r="Y56" i="2"/>
  <c r="X56" i="2"/>
  <c r="AD55" i="2"/>
  <c r="AC55" i="2"/>
  <c r="AB55" i="2"/>
  <c r="Z55" i="2"/>
  <c r="AA55" i="2" s="1"/>
  <c r="Y55" i="2"/>
  <c r="X55" i="2"/>
  <c r="AD54" i="2"/>
  <c r="AC54" i="2"/>
  <c r="AB54" i="2"/>
  <c r="Z54" i="2"/>
  <c r="AA54" i="2" s="1"/>
  <c r="Y54" i="2"/>
  <c r="X54" i="2"/>
  <c r="AD53" i="2"/>
  <c r="AC53" i="2"/>
  <c r="AB53" i="2"/>
  <c r="AA53" i="2"/>
  <c r="Z53" i="2"/>
  <c r="Y53" i="2"/>
  <c r="X53" i="2"/>
  <c r="AD52" i="2"/>
  <c r="AC52" i="2"/>
  <c r="AB52" i="2"/>
  <c r="Z52" i="2"/>
  <c r="AA52" i="2" s="1"/>
  <c r="Y52" i="2"/>
  <c r="X52" i="2"/>
  <c r="AD51" i="2"/>
  <c r="AC51" i="2"/>
  <c r="AB51" i="2"/>
  <c r="Z51" i="2"/>
  <c r="AA51" i="2" s="1"/>
  <c r="Y51" i="2"/>
  <c r="X51" i="2"/>
  <c r="AD50" i="2"/>
  <c r="AC50" i="2"/>
  <c r="AB50" i="2"/>
  <c r="AA50" i="2"/>
  <c r="Z50" i="2"/>
  <c r="Y50" i="2"/>
  <c r="X50" i="2"/>
  <c r="AD49" i="2"/>
  <c r="AC49" i="2"/>
  <c r="AB49" i="2"/>
  <c r="Z49" i="2"/>
  <c r="AA49" i="2" s="1"/>
  <c r="Y49" i="2"/>
  <c r="X49" i="2"/>
  <c r="AD48" i="2"/>
  <c r="AC48" i="2"/>
  <c r="AB48" i="2"/>
  <c r="Z48" i="2"/>
  <c r="AA48" i="2" s="1"/>
  <c r="Y48" i="2"/>
  <c r="X48" i="2"/>
  <c r="AD47" i="2"/>
  <c r="AC47" i="2"/>
  <c r="AB47" i="2"/>
  <c r="Z47" i="2"/>
  <c r="AA47" i="2" s="1"/>
  <c r="Y47" i="2"/>
  <c r="X47" i="2"/>
  <c r="AD46" i="2"/>
  <c r="AC46" i="2"/>
  <c r="AB46" i="2"/>
  <c r="Z46" i="2"/>
  <c r="AA46" i="2" s="1"/>
  <c r="Y46" i="2"/>
  <c r="X46" i="2"/>
  <c r="AD45" i="2"/>
  <c r="AC45" i="2"/>
  <c r="AB45" i="2"/>
  <c r="AA45" i="2"/>
  <c r="Z45" i="2"/>
  <c r="Y45" i="2"/>
  <c r="X45" i="2"/>
  <c r="AD44" i="2"/>
  <c r="AC44" i="2"/>
  <c r="AB44" i="2"/>
  <c r="Z44" i="2"/>
  <c r="AA44" i="2" s="1"/>
  <c r="Y44" i="2"/>
  <c r="X44" i="2"/>
  <c r="AD43" i="2"/>
  <c r="AC43" i="2"/>
  <c r="AB43" i="2"/>
  <c r="Z43" i="2"/>
  <c r="AA43" i="2" s="1"/>
  <c r="Y43" i="2"/>
  <c r="X43" i="2"/>
  <c r="AD42" i="2"/>
  <c r="AC42" i="2"/>
  <c r="AB42" i="2"/>
  <c r="AA42" i="2"/>
  <c r="Z42" i="2"/>
  <c r="Y42" i="2"/>
  <c r="X42" i="2"/>
  <c r="AD41" i="2"/>
  <c r="AC41" i="2"/>
  <c r="AB41" i="2"/>
  <c r="Z41" i="2"/>
  <c r="AA41" i="2" s="1"/>
  <c r="Y41" i="2"/>
  <c r="X41" i="2"/>
  <c r="AD40" i="2"/>
  <c r="AC40" i="2"/>
  <c r="AB40" i="2"/>
  <c r="Z40" i="2"/>
  <c r="AA40" i="2" s="1"/>
  <c r="Y40" i="2"/>
  <c r="X40" i="2"/>
  <c r="AD39" i="2"/>
  <c r="AC39" i="2"/>
  <c r="AB39" i="2"/>
  <c r="Z39" i="2"/>
  <c r="AA39" i="2" s="1"/>
  <c r="Y39" i="2"/>
  <c r="X39" i="2"/>
  <c r="AD38" i="2"/>
  <c r="AC38" i="2"/>
  <c r="AB38" i="2"/>
  <c r="Z38" i="2"/>
  <c r="AA38" i="2" s="1"/>
  <c r="Y38" i="2"/>
  <c r="X38" i="2"/>
  <c r="AD37" i="2"/>
  <c r="AC37" i="2"/>
  <c r="AB37" i="2"/>
  <c r="AA37" i="2"/>
  <c r="Z37" i="2"/>
  <c r="Y37" i="2"/>
  <c r="X37" i="2"/>
  <c r="AD36" i="2"/>
  <c r="AC36" i="2"/>
  <c r="AB36" i="2"/>
  <c r="Z36" i="2"/>
  <c r="AA36" i="2" s="1"/>
  <c r="Y36" i="2"/>
  <c r="X36" i="2"/>
  <c r="AD35" i="2"/>
  <c r="AC35" i="2"/>
  <c r="AB35" i="2"/>
  <c r="Z35" i="2"/>
  <c r="AA35" i="2" s="1"/>
  <c r="Y35" i="2"/>
  <c r="X35" i="2"/>
  <c r="AD34" i="2"/>
  <c r="AC34" i="2"/>
  <c r="AB34" i="2"/>
  <c r="AA34" i="2"/>
  <c r="Z34" i="2"/>
  <c r="Y34" i="2"/>
  <c r="X34" i="2"/>
  <c r="AD33" i="2"/>
  <c r="AC33" i="2"/>
  <c r="AB33" i="2"/>
  <c r="Z33" i="2"/>
  <c r="AA33" i="2" s="1"/>
  <c r="Y33" i="2"/>
  <c r="X33" i="2"/>
  <c r="AD32" i="2"/>
  <c r="AC32" i="2"/>
  <c r="AB32" i="2"/>
  <c r="Z32" i="2"/>
  <c r="AA32" i="2" s="1"/>
  <c r="Y32" i="2"/>
  <c r="X32" i="2"/>
  <c r="AD31" i="2"/>
  <c r="AC31" i="2"/>
  <c r="AB31" i="2"/>
  <c r="Z31" i="2"/>
  <c r="AA31" i="2" s="1"/>
  <c r="Y31" i="2"/>
  <c r="X31" i="2"/>
  <c r="AD30" i="2"/>
  <c r="AC30" i="2"/>
  <c r="AB30" i="2"/>
  <c r="Z30" i="2"/>
  <c r="AA30" i="2" s="1"/>
  <c r="Y30" i="2"/>
  <c r="X30" i="2"/>
  <c r="AD29" i="2"/>
  <c r="AC29" i="2"/>
  <c r="AB29" i="2"/>
  <c r="AA29" i="2"/>
  <c r="Z29" i="2"/>
  <c r="Y29" i="2"/>
  <c r="X29" i="2"/>
  <c r="AD28" i="2"/>
  <c r="AC28" i="2"/>
  <c r="AB28" i="2"/>
  <c r="Z28" i="2"/>
  <c r="AA28" i="2" s="1"/>
  <c r="Y28" i="2"/>
  <c r="X28" i="2"/>
  <c r="AD27" i="2"/>
  <c r="AC27" i="2"/>
  <c r="AB27" i="2"/>
  <c r="Z27" i="2"/>
  <c r="AA27" i="2" s="1"/>
  <c r="Y27" i="2"/>
  <c r="X27" i="2"/>
  <c r="AD26" i="2"/>
  <c r="AC26" i="2"/>
  <c r="AB26" i="2"/>
  <c r="AA26" i="2"/>
  <c r="Z26" i="2"/>
  <c r="Y26" i="2"/>
  <c r="X26" i="2"/>
  <c r="AD25" i="2"/>
  <c r="AC25" i="2"/>
  <c r="AB25" i="2"/>
  <c r="Z25" i="2"/>
  <c r="AA25" i="2" s="1"/>
  <c r="Y25" i="2"/>
  <c r="X25" i="2"/>
  <c r="AD24" i="2"/>
  <c r="AC24" i="2"/>
  <c r="AB24" i="2"/>
  <c r="Z24" i="2"/>
  <c r="AA24" i="2" s="1"/>
  <c r="Y24" i="2"/>
  <c r="X24" i="2"/>
  <c r="AD23" i="2"/>
  <c r="AC23" i="2"/>
  <c r="AB23" i="2"/>
  <c r="Z23" i="2"/>
  <c r="AA23" i="2" s="1"/>
  <c r="Y23" i="2"/>
  <c r="X23" i="2"/>
  <c r="AD22" i="2"/>
  <c r="AC22" i="2"/>
  <c r="AB22" i="2"/>
  <c r="Z22" i="2"/>
  <c r="AA22" i="2" s="1"/>
  <c r="Y22" i="2"/>
  <c r="X22" i="2"/>
  <c r="AD21" i="2"/>
  <c r="AC21" i="2"/>
  <c r="AB21" i="2"/>
  <c r="AA21" i="2"/>
  <c r="Z21" i="2"/>
  <c r="Y21" i="2"/>
  <c r="X21" i="2"/>
  <c r="AD20" i="2"/>
  <c r="AC20" i="2"/>
  <c r="AB20" i="2"/>
  <c r="Z20" i="2"/>
  <c r="AA20" i="2" s="1"/>
  <c r="Y20" i="2"/>
  <c r="X20" i="2"/>
  <c r="AD19" i="2"/>
  <c r="AC19" i="2"/>
  <c r="AB19" i="2"/>
  <c r="Z19" i="2"/>
  <c r="AA19" i="2" s="1"/>
  <c r="Y19" i="2"/>
  <c r="X19" i="2"/>
  <c r="AD18" i="2"/>
  <c r="AC18" i="2"/>
  <c r="AB18" i="2"/>
  <c r="AA18" i="2"/>
  <c r="Z18" i="2"/>
  <c r="Y18" i="2"/>
  <c r="X18" i="2"/>
  <c r="AD17" i="2"/>
  <c r="AC17" i="2"/>
  <c r="AB17" i="2"/>
  <c r="Z17" i="2"/>
  <c r="AA17" i="2" s="1"/>
  <c r="Y17" i="2"/>
  <c r="X17" i="2"/>
  <c r="AD16" i="2"/>
  <c r="AC16" i="2"/>
  <c r="AB16" i="2"/>
  <c r="Z16" i="2"/>
  <c r="AA16" i="2" s="1"/>
  <c r="Y16" i="2"/>
  <c r="X16" i="2"/>
  <c r="AD15" i="2"/>
  <c r="AC15" i="2"/>
  <c r="AB15" i="2"/>
  <c r="Z15" i="2"/>
  <c r="AA15" i="2" s="1"/>
  <c r="Y15" i="2"/>
  <c r="X15" i="2"/>
  <c r="AD14" i="2"/>
  <c r="AC14" i="2"/>
  <c r="AB14" i="2"/>
  <c r="Z14" i="2"/>
  <c r="H41" i="8" s="1"/>
  <c r="Y14" i="2"/>
  <c r="X14" i="2"/>
  <c r="AD13" i="2"/>
  <c r="AC13" i="2"/>
  <c r="AB13" i="2"/>
  <c r="AA13" i="2"/>
  <c r="Z13" i="2"/>
  <c r="Y13" i="2"/>
  <c r="X13" i="2"/>
  <c r="AD12" i="2"/>
  <c r="AC12" i="2"/>
  <c r="AB12" i="2"/>
  <c r="Z12" i="2"/>
  <c r="AA12" i="2" s="1"/>
  <c r="Y12" i="2"/>
  <c r="X12" i="2"/>
  <c r="AD11" i="2"/>
  <c r="AC11" i="2"/>
  <c r="AB11" i="2"/>
  <c r="Z11" i="2"/>
  <c r="AA11" i="2" s="1"/>
  <c r="Y11" i="2"/>
  <c r="X11" i="2"/>
  <c r="AD10" i="2"/>
  <c r="AC10" i="2"/>
  <c r="AB10" i="2"/>
  <c r="AA10" i="2"/>
  <c r="Z10" i="2"/>
  <c r="Y10" i="2"/>
  <c r="X10" i="2"/>
  <c r="AD9" i="2"/>
  <c r="AC9" i="2"/>
  <c r="AB9" i="2"/>
  <c r="Z9" i="2"/>
  <c r="H46" i="8" s="1"/>
  <c r="Y9" i="2"/>
  <c r="X9" i="2"/>
  <c r="AD8" i="2"/>
  <c r="AC8" i="2"/>
  <c r="AB8" i="2"/>
  <c r="Z8" i="2"/>
  <c r="AA8" i="2" s="1"/>
  <c r="Y8" i="2"/>
  <c r="X8" i="2"/>
  <c r="AD7" i="2"/>
  <c r="AC7" i="2"/>
  <c r="AB7" i="2"/>
  <c r="Z7" i="2"/>
  <c r="AA7" i="2" s="1"/>
  <c r="Y7" i="2"/>
  <c r="X7" i="2"/>
  <c r="AD6" i="2"/>
  <c r="AC6" i="2"/>
  <c r="AB6" i="2"/>
  <c r="Z6" i="2"/>
  <c r="AA6" i="2" s="1"/>
  <c r="Y6" i="2"/>
  <c r="X6" i="2"/>
  <c r="AD5" i="2"/>
  <c r="AC5" i="2"/>
  <c r="AB5" i="2"/>
  <c r="AA5" i="2"/>
  <c r="Z5" i="2"/>
  <c r="H45" i="8" s="1"/>
  <c r="Y5" i="2"/>
  <c r="X5" i="2"/>
  <c r="AD4" i="2"/>
  <c r="AC4" i="2"/>
  <c r="AB4" i="2"/>
  <c r="Z4" i="2"/>
  <c r="AA4" i="2" s="1"/>
  <c r="Y4" i="2"/>
  <c r="X4" i="2"/>
  <c r="AD3" i="2"/>
  <c r="AC3" i="2"/>
  <c r="AB3" i="2"/>
  <c r="Z3" i="2"/>
  <c r="AA3" i="2" s="1"/>
  <c r="Y3" i="2"/>
  <c r="X3" i="2"/>
  <c r="AD2" i="2"/>
  <c r="AC2" i="2"/>
  <c r="AB2" i="2"/>
  <c r="AA2" i="2"/>
  <c r="Z2" i="2"/>
  <c r="G65" i="8" s="1"/>
  <c r="Y2" i="2"/>
  <c r="X2" i="2"/>
  <c r="H229" i="7"/>
  <c r="H228" i="7"/>
  <c r="E73" i="7"/>
  <c r="C108" i="7"/>
  <c r="E61" i="7"/>
  <c r="H50" i="7"/>
  <c r="E82" i="7"/>
  <c r="E71" i="7"/>
  <c r="E98" i="7"/>
  <c r="E99" i="7"/>
  <c r="H49" i="7"/>
  <c r="E60" i="7"/>
  <c r="C107" i="7"/>
  <c r="H51" i="7"/>
  <c r="E97" i="7"/>
  <c r="E62" i="7"/>
  <c r="E81" i="7"/>
  <c r="E96" i="7"/>
  <c r="H114" i="7"/>
  <c r="E72" i="7"/>
  <c r="H116" i="7"/>
  <c r="H115" i="7"/>
  <c r="E95" i="7"/>
  <c r="E219" i="7"/>
  <c r="E218" i="7"/>
  <c r="E217" i="7"/>
  <c r="D216" i="7"/>
  <c r="D215" i="7"/>
  <c r="D214" i="7"/>
  <c r="G58" i="8"/>
  <c r="G51" i="8"/>
  <c r="G67" i="8"/>
  <c r="G57" i="8"/>
  <c r="G59" i="8"/>
  <c r="C105" i="7"/>
  <c r="G52" i="8"/>
  <c r="G60" i="8"/>
  <c r="C106" i="7"/>
  <c r="G56" i="8"/>
  <c r="F214" i="7" l="1"/>
  <c r="F215" i="7"/>
  <c r="F216" i="7"/>
  <c r="F217" i="7"/>
  <c r="F218" i="7"/>
  <c r="F219" i="7"/>
  <c r="C104" i="7"/>
  <c r="E165" i="7"/>
  <c r="J8" i="8"/>
  <c r="AA9" i="2"/>
  <c r="J9" i="8"/>
  <c r="E49" i="7"/>
  <c r="H40" i="8"/>
  <c r="AA14" i="2"/>
  <c r="H47" i="8"/>
  <c r="E15" i="7"/>
  <c r="G66" i="8" s="1"/>
  <c r="C103" i="7"/>
  <c r="J6" i="8"/>
  <c r="E157" i="7"/>
  <c r="E162" i="7"/>
  <c r="E163" i="7"/>
  <c r="E161" i="7"/>
  <c r="E155" i="7"/>
  <c r="I45" i="8"/>
  <c r="H56" i="8"/>
  <c r="C172" i="7" a="1"/>
  <c r="C172" i="7" s="1"/>
  <c r="D172" i="7" s="1"/>
  <c r="H52" i="8"/>
  <c r="I46" i="8"/>
  <c r="H57" i="8"/>
  <c r="G68" i="8"/>
  <c r="I47" i="8"/>
  <c r="H58" i="8"/>
  <c r="G69" i="8"/>
  <c r="H59" i="8"/>
  <c r="G70" i="8"/>
  <c r="H51" i="8"/>
  <c r="H60" i="8"/>
  <c r="H117" i="7"/>
  <c r="I64" i="8" s="1" a="1"/>
  <c r="I64" i="8" s="1"/>
  <c r="E156" i="7"/>
  <c r="E164" i="7"/>
  <c r="E166" i="7"/>
  <c r="E158" i="7"/>
  <c r="E159" i="7"/>
  <c r="E167" i="7"/>
  <c r="E160" i="7"/>
  <c r="D154" i="7"/>
  <c r="E154"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B455C0-CD98-4D5C-B51B-BFB0B91A6AF5}" keepAlive="1" name="Query - urbanthreads_q4" description="Connection to the 'urbanthreads_q4' query in the workbook." type="5" refreshedVersion="8" background="1" saveData="1">
    <dbPr connection="Provider=Microsoft.Mashup.OleDb.1;Data Source=$Workbook$;Location=urbanthreads_q4;Extended Properties=&quot;&quot;" command="SELECT * FROM [urbanthreads_q4]"/>
  </connection>
  <connection id="2" xr16:uid="{55DA8EF5-E408-4CED-AF99-94ABCB1C4B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03742E6-C620-4822-A60C-0BCCBFFFB835}" name="WorksheetConnection_Data Analyst Intern_Shubham_Zarkar_February2026.xlsx!urbanthreads_q4" type="102" refreshedVersion="8" minRefreshableVersion="5">
    <extLst>
      <ext xmlns:x15="http://schemas.microsoft.com/office/spreadsheetml/2010/11/main" uri="{DE250136-89BD-433C-8126-D09CA5730AF9}">
        <x15:connection id="urbanthreads_q4" autoDelete="1">
          <x15:rangePr sourceName="_xlcn.WorksheetConnection_DataAnalystIntern_Shubham_Zarkar_February2026.xlsxurbanthreads_q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<sst xmlns="http://schemas.openxmlformats.org/spreadsheetml/2006/main" count="6087" uniqueCount="1714">
  <si>
    <t>Order ID</t>
  </si>
  <si>
    <t>Order Date</t>
  </si>
  <si>
    <t>Customer ID</t>
  </si>
  <si>
    <t>Type</t>
  </si>
  <si>
    <t>SKU</t>
  </si>
  <si>
    <t>Category</t>
  </si>
  <si>
    <t>Product Name</t>
  </si>
  <si>
    <t>Unit Price</t>
  </si>
  <si>
    <t>Qty</t>
  </si>
  <si>
    <t>Total</t>
  </si>
  <si>
    <t>Discount Code</t>
  </si>
  <si>
    <t>Disc %</t>
  </si>
  <si>
    <t>Payment</t>
  </si>
  <si>
    <t>Source</t>
  </si>
  <si>
    <t>City</t>
  </si>
  <si>
    <t>State</t>
  </si>
  <si>
    <t>Warehouse</t>
  </si>
  <si>
    <t>Del Date</t>
  </si>
  <si>
    <t>Status</t>
  </si>
  <si>
    <t>Return?</t>
  </si>
  <si>
    <t>Reason</t>
  </si>
  <si>
    <t>Ret Rec</t>
  </si>
  <si>
    <t>Refund</t>
  </si>
  <si>
    <t>UT-100001</t>
  </si>
  <si>
    <t>CUST_10001</t>
  </si>
  <si>
    <t>New</t>
  </si>
  <si>
    <t>TOP-CAS-M</t>
  </si>
  <si>
    <t>Tops</t>
  </si>
  <si>
    <t>Classic Cotton Tee</t>
  </si>
  <si>
    <t/>
  </si>
  <si>
    <t>UPI</t>
  </si>
  <si>
    <t>Website</t>
  </si>
  <si>
    <t>Mumbai</t>
  </si>
  <si>
    <t>Maharashtra</t>
  </si>
  <si>
    <t>Delivered</t>
  </si>
  <si>
    <t>No</t>
  </si>
  <si>
    <t>Not Applicable</t>
  </si>
  <si>
    <t>UT-100002</t>
  </si>
  <si>
    <t>CUST_10002</t>
  </si>
  <si>
    <t>Returning</t>
  </si>
  <si>
    <t>DRS-FRM-S</t>
  </si>
  <si>
    <t>Dresses</t>
  </si>
  <si>
    <t>Floral Midi Dress</t>
  </si>
  <si>
    <t>DIWALI20</t>
  </si>
  <si>
    <t>Credit Card</t>
  </si>
  <si>
    <t>Mobile App</t>
  </si>
  <si>
    <t>Delhi</t>
  </si>
  <si>
    <t>Yes</t>
  </si>
  <si>
    <t>Size Issue</t>
  </si>
  <si>
    <t>Processed</t>
  </si>
  <si>
    <t>UT-100003</t>
  </si>
  <si>
    <t>CUST_10003</t>
  </si>
  <si>
    <t>new</t>
  </si>
  <si>
    <t>BOT-JNS-L</t>
  </si>
  <si>
    <t>Bottoms</t>
  </si>
  <si>
    <t>Slim Fit Jeans</t>
  </si>
  <si>
    <t>COD</t>
  </si>
  <si>
    <t>Bangalore</t>
  </si>
  <si>
    <t>Karnataka</t>
  </si>
  <si>
    <t>UT-100004</t>
  </si>
  <si>
    <t>CUST_10004</t>
  </si>
  <si>
    <t>OUT-JKT-XL</t>
  </si>
  <si>
    <t>Outerwear</t>
  </si>
  <si>
    <t>Denim Jacket</t>
  </si>
  <si>
    <t>FIRST15</t>
  </si>
  <si>
    <t>Debit Card</t>
  </si>
  <si>
    <t>Instagram Shop</t>
  </si>
  <si>
    <t>Chennai</t>
  </si>
  <si>
    <t>Tamil Nadu</t>
  </si>
  <si>
    <t>Quality Defect</t>
  </si>
  <si>
    <t>UT-100005</t>
  </si>
  <si>
    <t>ACC-SCF-OS</t>
  </si>
  <si>
    <t>Accessories</t>
  </si>
  <si>
    <t>Silk Scarf</t>
  </si>
  <si>
    <t>UT-100006</t>
  </si>
  <si>
    <t>CUST_10005</t>
  </si>
  <si>
    <t>TOP-FRM-S</t>
  </si>
  <si>
    <t>Printed Blouse</t>
  </si>
  <si>
    <t>Hyderabad</t>
  </si>
  <si>
    <t>Telangana</t>
  </si>
  <si>
    <t>Changed Mind</t>
  </si>
  <si>
    <t>UT-100007</t>
  </si>
  <si>
    <t>CUST_10006</t>
  </si>
  <si>
    <t>DRS-CAS-M</t>
  </si>
  <si>
    <t>A-Line Dress</t>
  </si>
  <si>
    <t>Pune</t>
  </si>
  <si>
    <t>Cancelled</t>
  </si>
  <si>
    <t>UT-100008</t>
  </si>
  <si>
    <t>CUST_10007</t>
  </si>
  <si>
    <t>BOT-TRS-L</t>
  </si>
  <si>
    <t>Formal Trousers</t>
  </si>
  <si>
    <t>Kolkata</t>
  </si>
  <si>
    <t>West Bengal</t>
  </si>
  <si>
    <t>UT-100009</t>
  </si>
  <si>
    <t>CUST_10008</t>
  </si>
  <si>
    <t>TOP-CAS-XL</t>
  </si>
  <si>
    <t>Oversized Tee</t>
  </si>
  <si>
    <t>Ahmedabad</t>
  </si>
  <si>
    <t>Gujarat</t>
  </si>
  <si>
    <t>UT-100010</t>
  </si>
  <si>
    <t>CUST_10009</t>
  </si>
  <si>
    <t>OUT-BLZ-M</t>
  </si>
  <si>
    <t>Casual Blazer</t>
  </si>
  <si>
    <t>Jaipur</t>
  </si>
  <si>
    <t>Rajasthan</t>
  </si>
  <si>
    <t>Wrong Item</t>
  </si>
  <si>
    <t>Pending</t>
  </si>
  <si>
    <t>UT-100011</t>
  </si>
  <si>
    <t>CUST_10010</t>
  </si>
  <si>
    <t>ACC-BAG-OS</t>
  </si>
  <si>
    <t>Tote Bag</t>
  </si>
  <si>
    <t>FLAT10</t>
  </si>
  <si>
    <t>Wallet</t>
  </si>
  <si>
    <t>Lucknow</t>
  </si>
  <si>
    <t>Uttar Pradesh</t>
  </si>
  <si>
    <t>UT-100012</t>
  </si>
  <si>
    <t>CUST_10011</t>
  </si>
  <si>
    <t>DRS-PRT-S</t>
  </si>
  <si>
    <t>Party Dress</t>
  </si>
  <si>
    <t>Chandigarh</t>
  </si>
  <si>
    <t>Punjab</t>
  </si>
  <si>
    <t>RTO</t>
  </si>
  <si>
    <t>UT-100013</t>
  </si>
  <si>
    <t>CUST_10012</t>
  </si>
  <si>
    <t>TOP-SLK-M</t>
  </si>
  <si>
    <t>Silk Blouse</t>
  </si>
  <si>
    <t>UT-100014</t>
  </si>
  <si>
    <t>CUST_10013</t>
  </si>
  <si>
    <t>BOT-SKT-S</t>
  </si>
  <si>
    <t>Pleated Skirt</t>
  </si>
  <si>
    <t>UT-100015</t>
  </si>
  <si>
    <t>CUST_10014</t>
  </si>
  <si>
    <t>OUT-CRD-L</t>
  </si>
  <si>
    <t>Knit Cardigan</t>
  </si>
  <si>
    <t>UT-100016</t>
  </si>
  <si>
    <t>CUST_10015</t>
  </si>
  <si>
    <t>ACC-JWL-OS</t>
  </si>
  <si>
    <t>Statement Earrings</t>
  </si>
  <si>
    <t>Noida</t>
  </si>
  <si>
    <t>Damaged in Transit</t>
  </si>
  <si>
    <t>UT-100017</t>
  </si>
  <si>
    <t>CUST_10016</t>
  </si>
  <si>
    <t>TOP-CRP-XS</t>
  </si>
  <si>
    <t>Crop Top</t>
  </si>
  <si>
    <t>Gurgaon</t>
  </si>
  <si>
    <t>Haryana</t>
  </si>
  <si>
    <t>UT-100018</t>
  </si>
  <si>
    <t>CUST_10017</t>
  </si>
  <si>
    <t>DRS-MAX-M</t>
  </si>
  <si>
    <t>Maxi Dress</t>
  </si>
  <si>
    <t>Indore</t>
  </si>
  <si>
    <t>Madhya Pradesh</t>
  </si>
  <si>
    <t>UT-100019</t>
  </si>
  <si>
    <t>CUST_10018</t>
  </si>
  <si>
    <t>BOT-JGR-M</t>
  </si>
  <si>
    <t>Joggers</t>
  </si>
  <si>
    <t>Surat</t>
  </si>
  <si>
    <t>UT-100020</t>
  </si>
  <si>
    <t>CUST_10019</t>
  </si>
  <si>
    <t>OUT-VST-S</t>
  </si>
  <si>
    <t>Puffer Vest</t>
  </si>
  <si>
    <t>Patna</t>
  </si>
  <si>
    <t>Bihar</t>
  </si>
  <si>
    <t>UT-100021</t>
  </si>
  <si>
    <t>CUST_10020</t>
  </si>
  <si>
    <t>TOP-TUN-L</t>
  </si>
  <si>
    <t>Tunic Top</t>
  </si>
  <si>
    <t>Bhopal</t>
  </si>
  <si>
    <t>UT-100022</t>
  </si>
  <si>
    <t>CUST_10021</t>
  </si>
  <si>
    <t>DRS-SHT-XS</t>
  </si>
  <si>
    <t>Shirt Dress</t>
  </si>
  <si>
    <t>Nagpur</t>
  </si>
  <si>
    <t>UT-100023</t>
  </si>
  <si>
    <t>CUST_10022</t>
  </si>
  <si>
    <t>ACC-BLT-M</t>
  </si>
  <si>
    <t>Leather Belt</t>
  </si>
  <si>
    <t>Coimbatore</t>
  </si>
  <si>
    <t>UT-100024</t>
  </si>
  <si>
    <t>CUST_10023</t>
  </si>
  <si>
    <t>BOT-SHT-M</t>
  </si>
  <si>
    <t>Cotton Shorts</t>
  </si>
  <si>
    <t>Kochi</t>
  </si>
  <si>
    <t>Kerala</t>
  </si>
  <si>
    <t>UT-100025</t>
  </si>
  <si>
    <t>CUST_10024</t>
  </si>
  <si>
    <t>TOP-PLO-L</t>
  </si>
  <si>
    <t>Polo Shirt</t>
  </si>
  <si>
    <t>Vizag</t>
  </si>
  <si>
    <t>Andhra Pradesh</t>
  </si>
  <si>
    <t>UT-100026</t>
  </si>
  <si>
    <t>CUST_10025</t>
  </si>
  <si>
    <t>DRS-WRK-M</t>
  </si>
  <si>
    <t>Work Dress</t>
  </si>
  <si>
    <t>Thiruvananthapuram</t>
  </si>
  <si>
    <t>UT-100027</t>
  </si>
  <si>
    <t>CUST_10026</t>
  </si>
  <si>
    <t>OUT-TRN-L</t>
  </si>
  <si>
    <t>Trench Coat</t>
  </si>
  <si>
    <t>Mysore</t>
  </si>
  <si>
    <t>UT-100028</t>
  </si>
  <si>
    <t>CUST_10027</t>
  </si>
  <si>
    <t>ACC-HAT-OS</t>
  </si>
  <si>
    <t>Fedora Hat</t>
  </si>
  <si>
    <t>Vadodara</t>
  </si>
  <si>
    <t>UT-100029</t>
  </si>
  <si>
    <t>CUST_10028</t>
  </si>
  <si>
    <t>TOP-DNM-M</t>
  </si>
  <si>
    <t>Denim Shirt</t>
  </si>
  <si>
    <t>Rajkot</t>
  </si>
  <si>
    <t>UT-100030</t>
  </si>
  <si>
    <t>CUST_10029</t>
  </si>
  <si>
    <t>BOT-CRG-L</t>
  </si>
  <si>
    <t>Cargo Pants</t>
  </si>
  <si>
    <t>Kanpur</t>
  </si>
  <si>
    <t>UT-100031</t>
  </si>
  <si>
    <t>CUST_10030</t>
  </si>
  <si>
    <t>DRS-EVE-S</t>
  </si>
  <si>
    <t>Evening Gown</t>
  </si>
  <si>
    <t>UT-100032</t>
  </si>
  <si>
    <t>CUST_10031</t>
  </si>
  <si>
    <t>TOP-BAS-M</t>
  </si>
  <si>
    <t>Basic Tank</t>
  </si>
  <si>
    <t>UT-100033</t>
  </si>
  <si>
    <t>CUST_10032</t>
  </si>
  <si>
    <t>OUT-WOL-L</t>
  </si>
  <si>
    <t>Wool Coat</t>
  </si>
  <si>
    <t>UT-100034</t>
  </si>
  <si>
    <t>CUST_10033</t>
  </si>
  <si>
    <t>ACC-WCH-OS</t>
  </si>
  <si>
    <t>Fashion Watch</t>
  </si>
  <si>
    <t>UT-100035</t>
  </si>
  <si>
    <t>CUST_10034</t>
  </si>
  <si>
    <t>BOT-DNM-S</t>
  </si>
  <si>
    <t>Denim Shorts</t>
  </si>
  <si>
    <t>UT-100036</t>
  </si>
  <si>
    <t>CUST_10035</t>
  </si>
  <si>
    <t>DRS-SUN-M</t>
  </si>
  <si>
    <t>Sundress</t>
  </si>
  <si>
    <t>UT-100037</t>
  </si>
  <si>
    <t>CUST_10036</t>
  </si>
  <si>
    <t>TOP-RFL-S</t>
  </si>
  <si>
    <t>Ruffle Top</t>
  </si>
  <si>
    <t>UT-100038</t>
  </si>
  <si>
    <t>CUST_10037</t>
  </si>
  <si>
    <t>OUT-LTH-M</t>
  </si>
  <si>
    <t>Leather Jacket</t>
  </si>
  <si>
    <t>UT-100039</t>
  </si>
  <si>
    <t>CUST_10038</t>
  </si>
  <si>
    <t>ACC-SNG-OS</t>
  </si>
  <si>
    <t>Sunglasses</t>
  </si>
  <si>
    <t>UT-100040</t>
  </si>
  <si>
    <t>CUST_10039</t>
  </si>
  <si>
    <t>BOT-PLZ-L</t>
  </si>
  <si>
    <t>Palazzo Pants</t>
  </si>
  <si>
    <t>UT-100041</t>
  </si>
  <si>
    <t>CUST_10040</t>
  </si>
  <si>
    <t>DRS-BDC-S</t>
  </si>
  <si>
    <t>Bodycon Dress</t>
  </si>
  <si>
    <t>UT-100042</t>
  </si>
  <si>
    <t>CUST_10041</t>
  </si>
  <si>
    <t>TOP-OFF-M</t>
  </si>
  <si>
    <t>Off-Shoulder Top</t>
  </si>
  <si>
    <t>UT-100043</t>
  </si>
  <si>
    <t>CUST_10042</t>
  </si>
  <si>
    <t>OUT-DNM-L</t>
  </si>
  <si>
    <t>Denim Vest</t>
  </si>
  <si>
    <t>UT-100044</t>
  </si>
  <si>
    <t>CUST_10043</t>
  </si>
  <si>
    <t>ACC-HBG-OS</t>
  </si>
  <si>
    <t>Hobo Bag</t>
  </si>
  <si>
    <t>UT-100045</t>
  </si>
  <si>
    <t>CUST_10044</t>
  </si>
  <si>
    <t>BOT-CHP-M</t>
  </si>
  <si>
    <t>Chino Pants</t>
  </si>
  <si>
    <t>UT-100046</t>
  </si>
  <si>
    <t>CUST_10045</t>
  </si>
  <si>
    <t>DRS-WRP-M</t>
  </si>
  <si>
    <t>Wrap Dress</t>
  </si>
  <si>
    <t>UT-100047</t>
  </si>
  <si>
    <t>CUST_10046</t>
  </si>
  <si>
    <t>TOP-STR-S</t>
  </si>
  <si>
    <t>Striped Tee</t>
  </si>
  <si>
    <t>UT-100048</t>
  </si>
  <si>
    <t>CUST_10047</t>
  </si>
  <si>
    <t>OUT-PRK-XL</t>
  </si>
  <si>
    <t>Parka Jacket</t>
  </si>
  <si>
    <t>UT-100049</t>
  </si>
  <si>
    <t>CUST_10048</t>
  </si>
  <si>
    <t>ACC-EAR-OS</t>
  </si>
  <si>
    <t>Hoop Earrings</t>
  </si>
  <si>
    <t>UT-100050</t>
  </si>
  <si>
    <t>CUST_10049</t>
  </si>
  <si>
    <t>BOT-LGN-S</t>
  </si>
  <si>
    <t>Leggings</t>
  </si>
  <si>
    <t>UT-100051</t>
  </si>
  <si>
    <t>CUST_10050</t>
  </si>
  <si>
    <t>DRS-CTN-L</t>
  </si>
  <si>
    <t>Cotton Dress</t>
  </si>
  <si>
    <t>UT-100052</t>
  </si>
  <si>
    <t>CUST_10051</t>
  </si>
  <si>
    <t>TOP-LCE-M</t>
  </si>
  <si>
    <t>Lace Top</t>
  </si>
  <si>
    <t>UT-100053</t>
  </si>
  <si>
    <t>CUST_10052</t>
  </si>
  <si>
    <t>OUT-BOM-M</t>
  </si>
  <si>
    <t>Bomber Jacket</t>
  </si>
  <si>
    <t>UT-100054</t>
  </si>
  <si>
    <t>CUST_10053</t>
  </si>
  <si>
    <t>ACC-NCK-OS</t>
  </si>
  <si>
    <t>Pendant Necklace</t>
  </si>
  <si>
    <t>UT-100055</t>
  </si>
  <si>
    <t>CUST_10054</t>
  </si>
  <si>
    <t>BOT-WID-M</t>
  </si>
  <si>
    <t>Wide Leg Pants</t>
  </si>
  <si>
    <t>UT-100056</t>
  </si>
  <si>
    <t>CUST_10055</t>
  </si>
  <si>
    <t>DRS-TIR-S</t>
  </si>
  <si>
    <t>Tiered Dress</t>
  </si>
  <si>
    <t>UT-100057</t>
  </si>
  <si>
    <t>CUST_10056</t>
  </si>
  <si>
    <t>TOP-PEP-M</t>
  </si>
  <si>
    <t>Peplum Top</t>
  </si>
  <si>
    <t>UT-100058</t>
  </si>
  <si>
    <t>CUST_10057</t>
  </si>
  <si>
    <t>OUT-QTD-L</t>
  </si>
  <si>
    <t>Quilted Jacket</t>
  </si>
  <si>
    <t>UT-100059</t>
  </si>
  <si>
    <t>CUST_10058</t>
  </si>
  <si>
    <t>ACC-BRC-OS</t>
  </si>
  <si>
    <t>Charm Bracelet</t>
  </si>
  <si>
    <t>UT-100060</t>
  </si>
  <si>
    <t>CUST_10059</t>
  </si>
  <si>
    <t>BOT-CRP-S</t>
  </si>
  <si>
    <t>Cropped Pants</t>
  </si>
  <si>
    <t>UT-100061</t>
  </si>
  <si>
    <t>CUST_10060</t>
  </si>
  <si>
    <t>DRS-SLP-M</t>
  </si>
  <si>
    <t>Slip Dress</t>
  </si>
  <si>
    <t>UT-100062</t>
  </si>
  <si>
    <t>CUST_10061</t>
  </si>
  <si>
    <t>TOP-HLT-L</t>
  </si>
  <si>
    <t>Halter Top</t>
  </si>
  <si>
    <t>UT-100063</t>
  </si>
  <si>
    <t>CUST_10062</t>
  </si>
  <si>
    <t>OUT-FLC-M</t>
  </si>
  <si>
    <t>Fleece Jacket</t>
  </si>
  <si>
    <t>UT-100064</t>
  </si>
  <si>
    <t>CUST_10063</t>
  </si>
  <si>
    <t>ACC-RNG-OS</t>
  </si>
  <si>
    <t>Cocktail Ring</t>
  </si>
  <si>
    <t>UT-100065</t>
  </si>
  <si>
    <t>CUST_10064</t>
  </si>
  <si>
    <t>BOT-SKN-M</t>
  </si>
  <si>
    <t>Skinny Jeans</t>
  </si>
  <si>
    <t>UT-100066</t>
  </si>
  <si>
    <t>CUST_10065</t>
  </si>
  <si>
    <t>DRS-KNT-S</t>
  </si>
  <si>
    <t>Knit Dress</t>
  </si>
  <si>
    <t>UT-100067</t>
  </si>
  <si>
    <t>CUST_10066</t>
  </si>
  <si>
    <t>TOP-EMB-M</t>
  </si>
  <si>
    <t>Embroidered Top</t>
  </si>
  <si>
    <t>UT-100068</t>
  </si>
  <si>
    <t>CUST_10067</t>
  </si>
  <si>
    <t>OUT-SHR-L</t>
  </si>
  <si>
    <t>Shrug</t>
  </si>
  <si>
    <t>UT-100069</t>
  </si>
  <si>
    <t>CUST_10068</t>
  </si>
  <si>
    <t>ACC-CLT-OS</t>
  </si>
  <si>
    <t>Clutch Bag</t>
  </si>
  <si>
    <t>UT-100070</t>
  </si>
  <si>
    <t>CUST_10069</t>
  </si>
  <si>
    <t>BOT-FLR-S</t>
  </si>
  <si>
    <t>Flared Jeans</t>
  </si>
  <si>
    <t>UT-100071</t>
  </si>
  <si>
    <t>CUST_10070</t>
  </si>
  <si>
    <t>DRS-PIN-M</t>
  </si>
  <si>
    <t>Pinafore Dress</t>
  </si>
  <si>
    <t>UT-100072</t>
  </si>
  <si>
    <t>CUST_10071</t>
  </si>
  <si>
    <t>TOP-CRW-L</t>
  </si>
  <si>
    <t>Crew Neck Tee</t>
  </si>
  <si>
    <t>UT-100073</t>
  </si>
  <si>
    <t>CUST_10072</t>
  </si>
  <si>
    <t>OUT-CDG-M</t>
  </si>
  <si>
    <t>Cardigan</t>
  </si>
  <si>
    <t>UT-100074</t>
  </si>
  <si>
    <t>CUST_10073</t>
  </si>
  <si>
    <t>ACC-SCR-OS</t>
  </si>
  <si>
    <t>Hair Scrunchie</t>
  </si>
  <si>
    <t>UT-100075</t>
  </si>
  <si>
    <t>CUST_10074</t>
  </si>
  <si>
    <t>BOT-PPR-M</t>
  </si>
  <si>
    <t>Paper Bag Pants</t>
  </si>
  <si>
    <t>UT-100076</t>
  </si>
  <si>
    <t>CUST_10075</t>
  </si>
  <si>
    <t>DRS-SMK-S</t>
  </si>
  <si>
    <t>Smocked Dress</t>
  </si>
  <si>
    <t>UT-100077</t>
  </si>
  <si>
    <t>CUST_10076</t>
  </si>
  <si>
    <t>TOP-BTN-M</t>
  </si>
  <si>
    <t>Button-Down Shirt</t>
  </si>
  <si>
    <t>UT-100078</t>
  </si>
  <si>
    <t>CUST_10077</t>
  </si>
  <si>
    <t>OUT-VLV-L</t>
  </si>
  <si>
    <t>Velvet Blazer</t>
  </si>
  <si>
    <t>UT-100079</t>
  </si>
  <si>
    <t>CUST_10078</t>
  </si>
  <si>
    <t>ACC-TOT-OS</t>
  </si>
  <si>
    <t>Canvas Tote</t>
  </si>
  <si>
    <t>UT-100080</t>
  </si>
  <si>
    <t>CUST_10079</t>
  </si>
  <si>
    <t>BOT-CRG-S</t>
  </si>
  <si>
    <t>Cargo Shorts</t>
  </si>
  <si>
    <t>UT-100081</t>
  </si>
  <si>
    <t>CUST_10080</t>
  </si>
  <si>
    <t>DRS-BTR-M</t>
  </si>
  <si>
    <t>Butterfly Dress</t>
  </si>
  <si>
    <t>UT-100082</t>
  </si>
  <si>
    <t>CUST_10081</t>
  </si>
  <si>
    <t>TOP-VNK-L</t>
  </si>
  <si>
    <t>V-Neck Tee</t>
  </si>
  <si>
    <t>UT-100083</t>
  </si>
  <si>
    <t>CUST_10082</t>
  </si>
  <si>
    <t>OUT-TRN-M</t>
  </si>
  <si>
    <t>UT-100084</t>
  </si>
  <si>
    <t>CUST_10083</t>
  </si>
  <si>
    <t>ACC-BDY-OS</t>
  </si>
  <si>
    <t>Body Chain</t>
  </si>
  <si>
    <t>UT-100085</t>
  </si>
  <si>
    <t>CUST_10084</t>
  </si>
  <si>
    <t>BOT-JGR-L</t>
  </si>
  <si>
    <t>Jogger Pants</t>
  </si>
  <si>
    <t>UT-100086</t>
  </si>
  <si>
    <t>CUST_10085</t>
  </si>
  <si>
    <t>DRS-RFL-S</t>
  </si>
  <si>
    <t>Ruffle Dress</t>
  </si>
  <si>
    <t>UT-100087</t>
  </si>
  <si>
    <t>CUST_10086</t>
  </si>
  <si>
    <t>TOP-SQR-M</t>
  </si>
  <si>
    <t>Square Neck Top</t>
  </si>
  <si>
    <t>UT-100088</t>
  </si>
  <si>
    <t>CUST_10087</t>
  </si>
  <si>
    <t>OUT-WND-L</t>
  </si>
  <si>
    <t>Windbreaker</t>
  </si>
  <si>
    <t>UT-100089</t>
  </si>
  <si>
    <t>CUST_10088</t>
  </si>
  <si>
    <t>ACC-ANK-OS</t>
  </si>
  <si>
    <t>Anklet</t>
  </si>
  <si>
    <t>UT-100090</t>
  </si>
  <si>
    <t>CUST_10089</t>
  </si>
  <si>
    <t>BOT-TRS-M</t>
  </si>
  <si>
    <t>Tailored Trousers</t>
  </si>
  <si>
    <t>UT-100091</t>
  </si>
  <si>
    <t>CUST_10090</t>
  </si>
  <si>
    <t>DRS-LST-M</t>
  </si>
  <si>
    <t>Lace Trim Dress</t>
  </si>
  <si>
    <t>UT-100092</t>
  </si>
  <si>
    <t>CUST_10091</t>
  </si>
  <si>
    <t>TOP-TIE-S</t>
  </si>
  <si>
    <t>Tie-Front Top</t>
  </si>
  <si>
    <t>UT-100093</t>
  </si>
  <si>
    <t>CUST_10092</t>
  </si>
  <si>
    <t>OUT-PUF-M</t>
  </si>
  <si>
    <t>Puffer Jacket</t>
  </si>
  <si>
    <t>UT-100094</t>
  </si>
  <si>
    <t>CUST_10093</t>
  </si>
  <si>
    <t>ACC-HDR-OS</t>
  </si>
  <si>
    <t>Hairband</t>
  </si>
  <si>
    <t>UT-100095</t>
  </si>
  <si>
    <t>CUST_10094</t>
  </si>
  <si>
    <t>BOT-PLT-L</t>
  </si>
  <si>
    <t>Pleated Trousers</t>
  </si>
  <si>
    <t>UT-100096</t>
  </si>
  <si>
    <t>CUST_10095</t>
  </si>
  <si>
    <t>DRS-SHR-S</t>
  </si>
  <si>
    <t>Shirtdress</t>
  </si>
  <si>
    <t>UT-100097</t>
  </si>
  <si>
    <t>CUST_10096</t>
  </si>
  <si>
    <t>TOP-GRF-M</t>
  </si>
  <si>
    <t>Graphic Tee</t>
  </si>
  <si>
    <t>UT-100098</t>
  </si>
  <si>
    <t>CUST_10097</t>
  </si>
  <si>
    <t>OUT-SHW-L</t>
  </si>
  <si>
    <t>Shawl Wrap</t>
  </si>
  <si>
    <t>UT-100099</t>
  </si>
  <si>
    <t>CUST_10098</t>
  </si>
  <si>
    <t>ACC-BLT-S</t>
  </si>
  <si>
    <t>Braided Belt</t>
  </si>
  <si>
    <t>UT-100100</t>
  </si>
  <si>
    <t>CUST_10099</t>
  </si>
  <si>
    <t>BOT-CUT-M</t>
  </si>
  <si>
    <t>Culottes</t>
  </si>
  <si>
    <t>UT-100101</t>
  </si>
  <si>
    <t>CUST_10100</t>
  </si>
  <si>
    <t>DRS-MXI-L</t>
  </si>
  <si>
    <t>UT-100102</t>
  </si>
  <si>
    <t>CUST_10101</t>
  </si>
  <si>
    <t>TOP-SLV-S</t>
  </si>
  <si>
    <t>Sleeveless Top</t>
  </si>
  <si>
    <t>UT-100103</t>
  </si>
  <si>
    <t>CUST_10102</t>
  </si>
  <si>
    <t>OUT-CPE-M</t>
  </si>
  <si>
    <t>Cape Coat</t>
  </si>
  <si>
    <t>UT-100104</t>
  </si>
  <si>
    <t>CUST_10103</t>
  </si>
  <si>
    <t>ACC-SHD-OS</t>
  </si>
  <si>
    <t>Shoulder Bag</t>
  </si>
  <si>
    <t>UT-100105</t>
  </si>
  <si>
    <t>CUST_10104</t>
  </si>
  <si>
    <t>BOT-STR-L</t>
  </si>
  <si>
    <t>Straight Pants</t>
  </si>
  <si>
    <t>UT-100106</t>
  </si>
  <si>
    <t>CUST_10105</t>
  </si>
  <si>
    <t>DRS-FIT-S</t>
  </si>
  <si>
    <t>Fit &amp; Flare Dress</t>
  </si>
  <si>
    <t>UT-100107</t>
  </si>
  <si>
    <t>CUST_10106</t>
  </si>
  <si>
    <t>TOP-CWL-M</t>
  </si>
  <si>
    <t>Cowl Neck Top</t>
  </si>
  <si>
    <t>UT-100108</t>
  </si>
  <si>
    <t>CUST_10107</t>
  </si>
  <si>
    <t>OUT-BLR-L</t>
  </si>
  <si>
    <t>Blazer</t>
  </si>
  <si>
    <t>UT-100109</t>
  </si>
  <si>
    <t>CUST_10108</t>
  </si>
  <si>
    <t>ACC-CFF-OS</t>
  </si>
  <si>
    <t>Cuff Bracelet</t>
  </si>
  <si>
    <t>UT-100110</t>
  </si>
  <si>
    <t>CUST_10109</t>
  </si>
  <si>
    <t>BOT-HRM-M</t>
  </si>
  <si>
    <t>Harem Pants</t>
  </si>
  <si>
    <t>UT-100111</t>
  </si>
  <si>
    <t>CUST_10110</t>
  </si>
  <si>
    <t>DRS-FES-M</t>
  </si>
  <si>
    <t>Festive Kurta Set</t>
  </si>
  <si>
    <t>DIWALI40</t>
  </si>
  <si>
    <t>UT-100112</t>
  </si>
  <si>
    <t>CUST_10111</t>
  </si>
  <si>
    <t>OUT-ETH-L</t>
  </si>
  <si>
    <t>Embroidered Jacket</t>
  </si>
  <si>
    <t>UT-100113</t>
  </si>
  <si>
    <t>CUST_10112</t>
  </si>
  <si>
    <t>TOP-FES-S</t>
  </si>
  <si>
    <t>Festive Blouse</t>
  </si>
  <si>
    <t>UT-100114</t>
  </si>
  <si>
    <t>CUST_10113</t>
  </si>
  <si>
    <t>Festive Clutch</t>
  </si>
  <si>
    <t>UT-100115</t>
  </si>
  <si>
    <t>CUST_10114</t>
  </si>
  <si>
    <t>BOT-ETH-M</t>
  </si>
  <si>
    <t>UT-100116</t>
  </si>
  <si>
    <t>CUST_10115</t>
  </si>
  <si>
    <t>DRS-ANK-S</t>
  </si>
  <si>
    <t>Anarkali Dress</t>
  </si>
  <si>
    <t>UT-100117</t>
  </si>
  <si>
    <t>CUST_10116</t>
  </si>
  <si>
    <t>TOP-ETH-M</t>
  </si>
  <si>
    <t>Embroidered Kurti</t>
  </si>
  <si>
    <t>UT-100118</t>
  </si>
  <si>
    <t>CUST_10117</t>
  </si>
  <si>
    <t>Pashmina Shawl</t>
  </si>
  <si>
    <t>Amritsar</t>
  </si>
  <si>
    <t>UT-100119</t>
  </si>
  <si>
    <t>CUST_10118</t>
  </si>
  <si>
    <t>DRS-LHG-M</t>
  </si>
  <si>
    <t>Lehenga Set</t>
  </si>
  <si>
    <t>UT-100120</t>
  </si>
  <si>
    <t>CUST_10119</t>
  </si>
  <si>
    <t>ACC-STL-OS</t>
  </si>
  <si>
    <t>Statement Necklace</t>
  </si>
  <si>
    <t>UT-100121</t>
  </si>
  <si>
    <t>CUST_10120</t>
  </si>
  <si>
    <t>TOP-SQN-S</t>
  </si>
  <si>
    <t>Sequin Top</t>
  </si>
  <si>
    <t>UT-100122</t>
  </si>
  <si>
    <t>CUST_10121</t>
  </si>
  <si>
    <t>BOT-LHG-S</t>
  </si>
  <si>
    <t>Lehenga Skirt</t>
  </si>
  <si>
    <t>UT-100123</t>
  </si>
  <si>
    <t>CUST_10122</t>
  </si>
  <si>
    <t>DRS-SAR-M</t>
  </si>
  <si>
    <t>Saree Gown</t>
  </si>
  <si>
    <t>UT-100124</t>
  </si>
  <si>
    <t>CUST_10123</t>
  </si>
  <si>
    <t>OUT-BLS-M</t>
  </si>
  <si>
    <t>Brocade Blazer</t>
  </si>
  <si>
    <t>UT-100125</t>
  </si>
  <si>
    <t>CUST_10124</t>
  </si>
  <si>
    <t>ACC-MNG-OS</t>
  </si>
  <si>
    <t>Maang Tikka Set</t>
  </si>
  <si>
    <t>Varanasi</t>
  </si>
  <si>
    <t>UT-100126</t>
  </si>
  <si>
    <t>CUST_10125</t>
  </si>
  <si>
    <t>TOP-ZAR-L</t>
  </si>
  <si>
    <t>Zardozi Blouse</t>
  </si>
  <si>
    <t>UT-100127</t>
  </si>
  <si>
    <t>CUST_10126</t>
  </si>
  <si>
    <t>DRS-FES-L</t>
  </si>
  <si>
    <t>Festive Gown</t>
  </si>
  <si>
    <t>UT-100128</t>
  </si>
  <si>
    <t>CUST_10127</t>
  </si>
  <si>
    <t>BOT-SLK-M</t>
  </si>
  <si>
    <t>Silk Pants</t>
  </si>
  <si>
    <t>UT-100129</t>
  </si>
  <si>
    <t>CUST_10128</t>
  </si>
  <si>
    <t>Velvet Jacket</t>
  </si>
  <si>
    <t>UT-100130</t>
  </si>
  <si>
    <t>CUST_10129</t>
  </si>
  <si>
    <t>ACC-TKA-OS</t>
  </si>
  <si>
    <t>Tikka Headpiece</t>
  </si>
  <si>
    <t>UT-100131</t>
  </si>
  <si>
    <t>CUST_10130</t>
  </si>
  <si>
    <t>TOP-GOT-S</t>
  </si>
  <si>
    <t>Gota Patti Top</t>
  </si>
  <si>
    <t>UT-100132</t>
  </si>
  <si>
    <t>CUST_10131</t>
  </si>
  <si>
    <t>DRS-BND-M</t>
  </si>
  <si>
    <t>Bandhani Dress</t>
  </si>
  <si>
    <t>UT-100133</t>
  </si>
  <si>
    <t>CUST_10132</t>
  </si>
  <si>
    <t>BOT-BRC-L</t>
  </si>
  <si>
    <t>Brocade Pants</t>
  </si>
  <si>
    <t>UT-100134</t>
  </si>
  <si>
    <t>CUST_10133</t>
  </si>
  <si>
    <t>OUT-ZRI-M</t>
  </si>
  <si>
    <t>Zari Work Jacket</t>
  </si>
  <si>
    <t>UT-100135</t>
  </si>
  <si>
    <t>CUST_10134</t>
  </si>
  <si>
    <t>ACC-JHM-OS</t>
  </si>
  <si>
    <t>Jhumka Earrings</t>
  </si>
  <si>
    <t>UT-100136</t>
  </si>
  <si>
    <t>CUST_10135</t>
  </si>
  <si>
    <t>TOP-MRR-S</t>
  </si>
  <si>
    <t>Mirror Work Top</t>
  </si>
  <si>
    <t>UT-100137</t>
  </si>
  <si>
    <t>CUST_10136</t>
  </si>
  <si>
    <t>DRS-PTL-M</t>
  </si>
  <si>
    <t>Patiala Suit</t>
  </si>
  <si>
    <t>UT-100138</t>
  </si>
  <si>
    <t>CUST_10137</t>
  </si>
  <si>
    <t>BOT-DHT-L</t>
  </si>
  <si>
    <t>Dhoti Pants</t>
  </si>
  <si>
    <t>UT-100139</t>
  </si>
  <si>
    <t>CUST_10138</t>
  </si>
  <si>
    <t>OUT-KTN-M</t>
  </si>
  <si>
    <t>Katan Silk Jacket</t>
  </si>
  <si>
    <t>UT-100140</t>
  </si>
  <si>
    <t>CUST_10139</t>
  </si>
  <si>
    <t>ACC-KDN-OS</t>
  </si>
  <si>
    <t>Kundan Set</t>
  </si>
  <si>
    <t>UT-100141</t>
  </si>
  <si>
    <t>CUST_10140</t>
  </si>
  <si>
    <t>TOP-CHK-L</t>
  </si>
  <si>
    <t>Chikankari Top</t>
  </si>
  <si>
    <t>UT-100142</t>
  </si>
  <si>
    <t>CUST_10141</t>
  </si>
  <si>
    <t>Sharara Set</t>
  </si>
  <si>
    <t>UT-100143</t>
  </si>
  <si>
    <t>CUST_10142</t>
  </si>
  <si>
    <t>BOT-GRR-M</t>
  </si>
  <si>
    <t>Gharara Pants</t>
  </si>
  <si>
    <t>UT-100144</t>
  </si>
  <si>
    <t>CUST_10143</t>
  </si>
  <si>
    <t>OUT-PHU-L</t>
  </si>
  <si>
    <t>Phulkari Jacket</t>
  </si>
  <si>
    <t>UT-100145</t>
  </si>
  <si>
    <t>CUST_10144</t>
  </si>
  <si>
    <t>ACC-MNP-OS</t>
  </si>
  <si>
    <t>Mang Patti</t>
  </si>
  <si>
    <t>UT-100146</t>
  </si>
  <si>
    <t>CUST_10145</t>
  </si>
  <si>
    <t>TOP-BND-S</t>
  </si>
  <si>
    <t>Bandhej Top</t>
  </si>
  <si>
    <t>UT-100147</t>
  </si>
  <si>
    <t>CUST_10146</t>
  </si>
  <si>
    <t>DRS-LKH-M</t>
  </si>
  <si>
    <t>Lucknowi Dress</t>
  </si>
  <si>
    <t>UT-100148</t>
  </si>
  <si>
    <t>CUST_10147</t>
  </si>
  <si>
    <t>BOT-PTL-L</t>
  </si>
  <si>
    <t>Patiala Pants</t>
  </si>
  <si>
    <t>UT-100149</t>
  </si>
  <si>
    <t>CUST_10148</t>
  </si>
  <si>
    <t>OUT-KTH-M</t>
  </si>
  <si>
    <t>Katha Work Jacket</t>
  </si>
  <si>
    <t>UT-100150</t>
  </si>
  <si>
    <t>CUST_10149</t>
  </si>
  <si>
    <t>ACC-BNG-OS</t>
  </si>
  <si>
    <t>Bangle Set</t>
  </si>
  <si>
    <t>UT-100151</t>
  </si>
  <si>
    <t>CUST_10150</t>
  </si>
  <si>
    <t>TOP-KSH-L</t>
  </si>
  <si>
    <t>Kashmiri Top</t>
  </si>
  <si>
    <t>UT-100152</t>
  </si>
  <si>
    <t>CUST_10151</t>
  </si>
  <si>
    <t>DRS-IDR-S</t>
  </si>
  <si>
    <t>Ikat Dress</t>
  </si>
  <si>
    <t>UT-100153</t>
  </si>
  <si>
    <t>CUST_10152</t>
  </si>
  <si>
    <t>BOT-KLN-M</t>
  </si>
  <si>
    <t>Kalamkari Pants</t>
  </si>
  <si>
    <t>Nov15</t>
  </si>
  <si>
    <t>UT-100154</t>
  </si>
  <si>
    <t>CUST_10153</t>
  </si>
  <si>
    <t>OUT-JQD-L</t>
  </si>
  <si>
    <t>Jacquard Jacket</t>
  </si>
  <si>
    <t>UT-100155</t>
  </si>
  <si>
    <t>CUST_10154</t>
  </si>
  <si>
    <t>ACC-CHN-OS</t>
  </si>
  <si>
    <t>Choker Necklace</t>
  </si>
  <si>
    <t>UT-100156</t>
  </si>
  <si>
    <t>CUST_10155</t>
  </si>
  <si>
    <t>TOP-AJR-M</t>
  </si>
  <si>
    <t>Ajrakh Print Top</t>
  </si>
  <si>
    <t>UT-100157</t>
  </si>
  <si>
    <t>CUST_10156</t>
  </si>
  <si>
    <t>DRS-BLK-L</t>
  </si>
  <si>
    <t>Block Print Dress</t>
  </si>
  <si>
    <t>UT-100158</t>
  </si>
  <si>
    <t>CUST_10157</t>
  </si>
  <si>
    <t>BOT-TIE-S</t>
  </si>
  <si>
    <t>Tie Dye Pants</t>
  </si>
  <si>
    <t>UT-100159</t>
  </si>
  <si>
    <t>CUST_10158</t>
  </si>
  <si>
    <t>OUT-EMB-M</t>
  </si>
  <si>
    <t>Embellished Jacket</t>
  </si>
  <si>
    <t>UT-100160</t>
  </si>
  <si>
    <t>CUST_10159</t>
  </si>
  <si>
    <t>ACC-HRM-OS</t>
  </si>
  <si>
    <t>Hair Clip Set</t>
  </si>
  <si>
    <t>UT-100161</t>
  </si>
  <si>
    <t>CUST_10160</t>
  </si>
  <si>
    <t>TOP-PRN-L</t>
  </si>
  <si>
    <t>Printed Kurta</t>
  </si>
  <si>
    <t>UT-100162</t>
  </si>
  <si>
    <t>CUST_10161</t>
  </si>
  <si>
    <t>DRS-FLR-S</t>
  </si>
  <si>
    <t>Floral Print Dress</t>
  </si>
  <si>
    <t>UT-100163</t>
  </si>
  <si>
    <t>CUST_10162</t>
  </si>
  <si>
    <t>BOT-DOT-M</t>
  </si>
  <si>
    <t>Polka Dot Pants</t>
  </si>
  <si>
    <t>UT-100164</t>
  </si>
  <si>
    <t>CUST_10163</t>
  </si>
  <si>
    <t>OUT-STR-L</t>
  </si>
  <si>
    <t>Striped Blazer</t>
  </si>
  <si>
    <t>UT-100165</t>
  </si>
  <si>
    <t>CUST_10164</t>
  </si>
  <si>
    <t>ACC-TBR-OS</t>
  </si>
  <si>
    <t>Tassel Earrings</t>
  </si>
  <si>
    <t>UT-100166</t>
  </si>
  <si>
    <t>CUST_10165</t>
  </si>
  <si>
    <t>Sleeve Detail Top</t>
  </si>
  <si>
    <t>UT-100167</t>
  </si>
  <si>
    <t>CUST_10166</t>
  </si>
  <si>
    <t>DRS-ASY-M</t>
  </si>
  <si>
    <t>Asymmetric Dress</t>
  </si>
  <si>
    <t>UT-100168</t>
  </si>
  <si>
    <t>CUST_10167</t>
  </si>
  <si>
    <t>BOT-FRN-L</t>
  </si>
  <si>
    <t>Fringe Pants</t>
  </si>
  <si>
    <t>UT-100169</t>
  </si>
  <si>
    <t>CUST_10168</t>
  </si>
  <si>
    <t>OUT-TWD-M</t>
  </si>
  <si>
    <t>Tweed Jacket</t>
  </si>
  <si>
    <t>UT-100170</t>
  </si>
  <si>
    <t>CUST_10169</t>
  </si>
  <si>
    <t>ACC-PIN-OS</t>
  </si>
  <si>
    <t>Brooch Pin</t>
  </si>
  <si>
    <t>UT-100171</t>
  </si>
  <si>
    <t>CUST_10170</t>
  </si>
  <si>
    <t>TOP-MCR-M</t>
  </si>
  <si>
    <t>Macrame Top</t>
  </si>
  <si>
    <t>UT-100172</t>
  </si>
  <si>
    <t>CUST_10171</t>
  </si>
  <si>
    <t>DRS-PLT-S</t>
  </si>
  <si>
    <t>Pleated Midi Dress</t>
  </si>
  <si>
    <t>UT-100173</t>
  </si>
  <si>
    <t>CUST_10172</t>
  </si>
  <si>
    <t>BOT-VLT-L</t>
  </si>
  <si>
    <t>Velvet Pants</t>
  </si>
  <si>
    <t>UT-100174</t>
  </si>
  <si>
    <t>CUST_10173</t>
  </si>
  <si>
    <t>OUT-CHK-M</t>
  </si>
  <si>
    <t>Check Coat</t>
  </si>
  <si>
    <t>UT-100175</t>
  </si>
  <si>
    <t>CUST_10174</t>
  </si>
  <si>
    <t>ACC-WVN-OS</t>
  </si>
  <si>
    <t>Woven Bag</t>
  </si>
  <si>
    <t>UT-100176</t>
  </si>
  <si>
    <t>CUST_10175</t>
  </si>
  <si>
    <t>TOP-BLN-L</t>
  </si>
  <si>
    <t>Balloon Sleeve Top</t>
  </si>
  <si>
    <t>UT-100177</t>
  </si>
  <si>
    <t>CUST_10176</t>
  </si>
  <si>
    <t>DRS-CRO-S</t>
  </si>
  <si>
    <t>Crochet Dress</t>
  </si>
  <si>
    <t>UT-100178</t>
  </si>
  <si>
    <t>CUST_10177</t>
  </si>
  <si>
    <t>BOT-PTW-M</t>
  </si>
  <si>
    <t>Patchwork Pants</t>
  </si>
  <si>
    <t>UT-100179</t>
  </si>
  <si>
    <t>CUST_10178</t>
  </si>
  <si>
    <t>OUT-HRN-L</t>
  </si>
  <si>
    <t>Herringbone Coat</t>
  </si>
  <si>
    <t>UT-100180</t>
  </si>
  <si>
    <t>CUST_10179</t>
  </si>
  <si>
    <t>ACC-MTL-OS</t>
  </si>
  <si>
    <t>Metal Belt</t>
  </si>
  <si>
    <t>UT-100181</t>
  </si>
  <si>
    <t>CUST_10180</t>
  </si>
  <si>
    <t>TOP-RCH-S</t>
  </si>
  <si>
    <t>Rouched Top</t>
  </si>
  <si>
    <t>UT-100182</t>
  </si>
  <si>
    <t>CUST_10181</t>
  </si>
  <si>
    <t>DRS-TRF-M</t>
  </si>
  <si>
    <t>Tiered Ruffle Dress</t>
  </si>
  <si>
    <t>UT-100183</t>
  </si>
  <si>
    <t>CUST_10182</t>
  </si>
  <si>
    <t>BOT-BND-L</t>
  </si>
  <si>
    <t>Banded Pants</t>
  </si>
  <si>
    <t>UT-100184</t>
  </si>
  <si>
    <t>CUST_10183</t>
  </si>
  <si>
    <t>OUT-CML-M</t>
  </si>
  <si>
    <t>Camel Coat</t>
  </si>
  <si>
    <t>UT-100185</t>
  </si>
  <si>
    <t>CUST_10184</t>
  </si>
  <si>
    <t>ACC-STN-OS</t>
  </si>
  <si>
    <t>Stone Necklace</t>
  </si>
  <si>
    <t>UT-100186</t>
  </si>
  <si>
    <t>CUST_10185</t>
  </si>
  <si>
    <t>TOP-KNT-M</t>
  </si>
  <si>
    <t>Knotted Top</t>
  </si>
  <si>
    <t>UT-100187</t>
  </si>
  <si>
    <t>CUST_10186</t>
  </si>
  <si>
    <t>DRS-SQN-L</t>
  </si>
  <si>
    <t>Sequin Midi Dress</t>
  </si>
  <si>
    <t>UT-100188</t>
  </si>
  <si>
    <t>CUST_10187</t>
  </si>
  <si>
    <t>BOT-GLT-S</t>
  </si>
  <si>
    <t>Glitter Pants</t>
  </si>
  <si>
    <t>UT-100189</t>
  </si>
  <si>
    <t>CUST_10188</t>
  </si>
  <si>
    <t>OUT-FXF-M</t>
  </si>
  <si>
    <t>Faux Fur Jacket</t>
  </si>
  <si>
    <t>UT-100190</t>
  </si>
  <si>
    <t>CUST_10189</t>
  </si>
  <si>
    <t>ACC-CHM-OS</t>
  </si>
  <si>
    <t>Charm Anklet</t>
  </si>
  <si>
    <t>UT-100191</t>
  </si>
  <si>
    <t>CUST_10190</t>
  </si>
  <si>
    <t>TOP-TXD-L</t>
  </si>
  <si>
    <t>Textured Top</t>
  </si>
  <si>
    <t>UT-100192</t>
  </si>
  <si>
    <t>CUST_10191</t>
  </si>
  <si>
    <t>DRS-VLR-S</t>
  </si>
  <si>
    <t>Velour Dress</t>
  </si>
  <si>
    <t>UT-100193</t>
  </si>
  <si>
    <t>CUST_10192</t>
  </si>
  <si>
    <t>BOT-STN-M</t>
  </si>
  <si>
    <t>Satin Pants</t>
  </si>
  <si>
    <t>UT-100194</t>
  </si>
  <si>
    <t>CUST_10193</t>
  </si>
  <si>
    <t>OUT-SHN-L</t>
  </si>
  <si>
    <t>Shiny Jacket</t>
  </si>
  <si>
    <t>UT-100195</t>
  </si>
  <si>
    <t>CUST_10194</t>
  </si>
  <si>
    <t>ACC-PRL-OS</t>
  </si>
  <si>
    <t>Pearl Earrings</t>
  </si>
  <si>
    <t>UT-100196</t>
  </si>
  <si>
    <t>CUST_10195</t>
  </si>
  <si>
    <t>TOP-MTL-S</t>
  </si>
  <si>
    <t>Metallic Top</t>
  </si>
  <si>
    <t>UT-100197</t>
  </si>
  <si>
    <t>CUST_10196</t>
  </si>
  <si>
    <t>DRS-GLM-M</t>
  </si>
  <si>
    <t>Glamour Dress</t>
  </si>
  <si>
    <t>UT-100198</t>
  </si>
  <si>
    <t>CUST_10197</t>
  </si>
  <si>
    <t>BOT-LME-L</t>
  </si>
  <si>
    <t>Lame Pants</t>
  </si>
  <si>
    <t>UT-100199</t>
  </si>
  <si>
    <t>CUST_10198</t>
  </si>
  <si>
    <t>OUT-SPK-M</t>
  </si>
  <si>
    <t>Sparkle Jacket</t>
  </si>
  <si>
    <t>UT-100200</t>
  </si>
  <si>
    <t>CUST_10199</t>
  </si>
  <si>
    <t>ACC-CRY-OS</t>
  </si>
  <si>
    <t>Crystal Bracelet</t>
  </si>
  <si>
    <t>UT-100201</t>
  </si>
  <si>
    <t>CUST_10200</t>
  </si>
  <si>
    <t>TOP-SHR-L</t>
  </si>
  <si>
    <t>Sheer Top</t>
  </si>
  <si>
    <t>UT-100202</t>
  </si>
  <si>
    <t>CUST_10201</t>
  </si>
  <si>
    <t>DRS-CHF-S</t>
  </si>
  <si>
    <t>Chiffon Dress</t>
  </si>
  <si>
    <t>UT-100203</t>
  </si>
  <si>
    <t>CUST_10202</t>
  </si>
  <si>
    <t>BOT-ORG-M</t>
  </si>
  <si>
    <t>Organza Pants</t>
  </si>
  <si>
    <t>UT-100204</t>
  </si>
  <si>
    <t>CUST_10203</t>
  </si>
  <si>
    <t>OUT-MET-L</t>
  </si>
  <si>
    <t>Metallic Coat</t>
  </si>
  <si>
    <t>UT-100205</t>
  </si>
  <si>
    <t>CUST_10204</t>
  </si>
  <si>
    <t>ACC-DMD-OS</t>
  </si>
  <si>
    <t>Diamond Studs</t>
  </si>
  <si>
    <t>UT-100206</t>
  </si>
  <si>
    <t>CUST_10205</t>
  </si>
  <si>
    <t>TOP-BDS-M</t>
  </si>
  <si>
    <t>Beaded Top</t>
  </si>
  <si>
    <t>UT-100207</t>
  </si>
  <si>
    <t>CUST_10206</t>
  </si>
  <si>
    <t>DRS-SPL-L</t>
  </si>
  <si>
    <t>Sparkle Gown</t>
  </si>
  <si>
    <t>UT-100208</t>
  </si>
  <si>
    <t>CUST_10207</t>
  </si>
  <si>
    <t>BOT-EMB-S</t>
  </si>
  <si>
    <t>Embroidered Pants</t>
  </si>
  <si>
    <t>UT-100209</t>
  </si>
  <si>
    <t>CUST_10208</t>
  </si>
  <si>
    <t>OUT-NYE-M</t>
  </si>
  <si>
    <t>NYE Jacket</t>
  </si>
  <si>
    <t>UT-100210</t>
  </si>
  <si>
    <t>CUST_10209</t>
  </si>
  <si>
    <t>ACC-GLD-OS</t>
  </si>
  <si>
    <t>Gold Cuff</t>
  </si>
  <si>
    <t>UT-100211</t>
  </si>
  <si>
    <t>CUST_10210</t>
  </si>
  <si>
    <t>TOP-FTR-S</t>
  </si>
  <si>
    <t>Feather Top</t>
  </si>
  <si>
    <t>UT-100212</t>
  </si>
  <si>
    <t>CUST_10211</t>
  </si>
  <si>
    <t>DRS-CCK-M</t>
  </si>
  <si>
    <t>Cocktail Dress</t>
  </si>
  <si>
    <t>UT-100213</t>
  </si>
  <si>
    <t>CUST_10212</t>
  </si>
  <si>
    <t>BOT-SQN-L</t>
  </si>
  <si>
    <t>Sequin Skirt</t>
  </si>
  <si>
    <t>UT-100214</t>
  </si>
  <si>
    <t>CUST_10213</t>
  </si>
  <si>
    <t>OUT-PRT-M</t>
  </si>
  <si>
    <t>Party Jacket</t>
  </si>
  <si>
    <t>UT-100215</t>
  </si>
  <si>
    <t>CUST_10214</t>
  </si>
  <si>
    <t>ACC-SLV-OS</t>
  </si>
  <si>
    <t>Silver Bangle</t>
  </si>
  <si>
    <t>UT-100216</t>
  </si>
  <si>
    <t>CUST_10215</t>
  </si>
  <si>
    <t>TOP-GLT-L</t>
  </si>
  <si>
    <t>Glitter Tank</t>
  </si>
  <si>
    <t>UT-100217</t>
  </si>
  <si>
    <t>CUST_10216</t>
  </si>
  <si>
    <t>DRS-STR-S</t>
  </si>
  <si>
    <t>Star Print Dress</t>
  </si>
  <si>
    <t>UT-100218</t>
  </si>
  <si>
    <t>CUST_10217</t>
  </si>
  <si>
    <t>BOT-MTL-M</t>
  </si>
  <si>
    <t>Metallic Pants</t>
  </si>
  <si>
    <t>UT-100219</t>
  </si>
  <si>
    <t>CUST_10218</t>
  </si>
  <si>
    <t>OUT-FRM-L</t>
  </si>
  <si>
    <t>Formal Coat</t>
  </si>
  <si>
    <t>UT-100220</t>
  </si>
  <si>
    <t>CUST_10219</t>
  </si>
  <si>
    <t>ACC-RBN-OS</t>
  </si>
  <si>
    <t>Ribbon Choker</t>
  </si>
  <si>
    <t>UT-100221</t>
  </si>
  <si>
    <t>CUST_10220</t>
  </si>
  <si>
    <t>TOP-VNY-M</t>
  </si>
  <si>
    <t>Vinyl Top</t>
  </si>
  <si>
    <t>UT-100222</t>
  </si>
  <si>
    <t>CUST_10221</t>
  </si>
  <si>
    <t>DRS-NYE-L</t>
  </si>
  <si>
    <t>New Year Gown</t>
  </si>
  <si>
    <t>UT-100223</t>
  </si>
  <si>
    <t>CUST_10222</t>
  </si>
  <si>
    <t>BOT-LTX-S</t>
  </si>
  <si>
    <t>Latex Pants</t>
  </si>
  <si>
    <t>UT-100224</t>
  </si>
  <si>
    <t>CUST_10223</t>
  </si>
  <si>
    <t>OUT-GLM-M</t>
  </si>
  <si>
    <t>Glam Jacket</t>
  </si>
  <si>
    <t>UT-100225</t>
  </si>
  <si>
    <t>CUST_10224</t>
  </si>
  <si>
    <t>ACC-GEM-OS</t>
  </si>
  <si>
    <t>Gemstone Ring</t>
  </si>
  <si>
    <t>UT-100226</t>
  </si>
  <si>
    <t>CUST_10225</t>
  </si>
  <si>
    <t>TOP-HOD-L</t>
  </si>
  <si>
    <t>Zip Hoodie</t>
  </si>
  <si>
    <t>Dec20</t>
  </si>
  <si>
    <t>UT-100227</t>
  </si>
  <si>
    <t>CUST_10226</t>
  </si>
  <si>
    <t>OUT-COT-M</t>
  </si>
  <si>
    <t>Puffer Coat</t>
  </si>
  <si>
    <t>UT-100228</t>
  </si>
  <si>
    <t>CUST_10227</t>
  </si>
  <si>
    <t>ACC-MFL-OS</t>
  </si>
  <si>
    <t>Cashmere Scarf</t>
  </si>
  <si>
    <t>UT-100229</t>
  </si>
  <si>
    <t>CUST_10228</t>
  </si>
  <si>
    <t>DRS-PLT-M</t>
  </si>
  <si>
    <t>Pleated Dress</t>
  </si>
  <si>
    <t>UT-100230</t>
  </si>
  <si>
    <t>CUST_10229</t>
  </si>
  <si>
    <t>TOP-THR-L</t>
  </si>
  <si>
    <t>Thermal Top</t>
  </si>
  <si>
    <t>Shimla</t>
  </si>
  <si>
    <t>Himachal Pradesh</t>
  </si>
  <si>
    <t>UT-100231</t>
  </si>
  <si>
    <t>CUST_10230</t>
  </si>
  <si>
    <t>BOT-FLC-M</t>
  </si>
  <si>
    <t>Fleece Joggers</t>
  </si>
  <si>
    <t>Dehradun</t>
  </si>
  <si>
    <t>Uttarakhand</t>
  </si>
  <si>
    <t>UT-100232</t>
  </si>
  <si>
    <t>CUST_10231</t>
  </si>
  <si>
    <t>Srinagar</t>
  </si>
  <si>
    <t>Jammu &amp; Kashmir</t>
  </si>
  <si>
    <t>UT-100233</t>
  </si>
  <si>
    <t>CUST_10232</t>
  </si>
  <si>
    <t>ACC-BNE-OS</t>
  </si>
  <si>
    <t>Beanie Cap</t>
  </si>
  <si>
    <t>Manali</t>
  </si>
  <si>
    <t>UT-100234</t>
  </si>
  <si>
    <t>CUST_10233</t>
  </si>
  <si>
    <t>TOP-SWT-S</t>
  </si>
  <si>
    <t>Cropped Sweater</t>
  </si>
  <si>
    <t>Darjeeling</t>
  </si>
  <si>
    <t>UT-100235</t>
  </si>
  <si>
    <t>CUST_10234</t>
  </si>
  <si>
    <t>DRS-WRM-M</t>
  </si>
  <si>
    <t>Gangtok</t>
  </si>
  <si>
    <t>Sikkim</t>
  </si>
  <si>
    <t>UT-100236</t>
  </si>
  <si>
    <t>CUST_10235</t>
  </si>
  <si>
    <t>BOT-WOL-L</t>
  </si>
  <si>
    <t>Wool Trousers</t>
  </si>
  <si>
    <t>Shillong</t>
  </si>
  <si>
    <t>Meghalaya</t>
  </si>
  <si>
    <t>UT-100237</t>
  </si>
  <si>
    <t>CUST_10236</t>
  </si>
  <si>
    <t>OUT-DWN-M</t>
  </si>
  <si>
    <t>Down Jacket</t>
  </si>
  <si>
    <t>Leh</t>
  </si>
  <si>
    <t>Ladakh</t>
  </si>
  <si>
    <t>UT-100238</t>
  </si>
  <si>
    <t>CUST_10237</t>
  </si>
  <si>
    <t>TOP-VLV-S</t>
  </si>
  <si>
    <t>Velvet Top</t>
  </si>
  <si>
    <t>Ooty</t>
  </si>
  <si>
    <t>UT-100239</t>
  </si>
  <si>
    <t>CUST_10238</t>
  </si>
  <si>
    <t>ACC-ERM-OS</t>
  </si>
  <si>
    <t>Ear Muffs</t>
  </si>
  <si>
    <t>Munnar</t>
  </si>
  <si>
    <t>UT-100240</t>
  </si>
  <si>
    <t>CUST_10239</t>
  </si>
  <si>
    <t>DRS-NYE-S</t>
  </si>
  <si>
    <t>Sequin Party Dress</t>
  </si>
  <si>
    <t>Goa</t>
  </si>
  <si>
    <t>UT-100241</t>
  </si>
  <si>
    <t>CUST_10240</t>
  </si>
  <si>
    <t>TOP-SPK-M</t>
  </si>
  <si>
    <t>Sparkle Top</t>
  </si>
  <si>
    <t>UT-100242</t>
  </si>
  <si>
    <t>CUST_10241</t>
  </si>
  <si>
    <t>BOT-VLV-S</t>
  </si>
  <si>
    <t>UT-100243</t>
  </si>
  <si>
    <t>CUST_10242</t>
  </si>
  <si>
    <t>OUT-FUR-L</t>
  </si>
  <si>
    <t>Faux Fur Coat</t>
  </si>
  <si>
    <t>UT-100244</t>
  </si>
  <si>
    <t>CUST_10243</t>
  </si>
  <si>
    <t>Evening Clutch</t>
  </si>
  <si>
    <t>UT-100245</t>
  </si>
  <si>
    <t>CUST_10244</t>
  </si>
  <si>
    <t>TOP-MET-S</t>
  </si>
  <si>
    <t>Metallic Blouse</t>
  </si>
  <si>
    <t>UT-100246</t>
  </si>
  <si>
    <t>CUST_10245</t>
  </si>
  <si>
    <t>DRS-GLT-M</t>
  </si>
  <si>
    <t>Glitter Dress</t>
  </si>
  <si>
    <t>UT-100247</t>
  </si>
  <si>
    <t>CUST_10246</t>
  </si>
  <si>
    <t>BOT-SLK-S</t>
  </si>
  <si>
    <t>Silk Trousers</t>
  </si>
  <si>
    <t>UT-100248</t>
  </si>
  <si>
    <t>CUST_10247</t>
  </si>
  <si>
    <t>Velvet Cape</t>
  </si>
  <si>
    <t>UT-100249</t>
  </si>
  <si>
    <t>CUST_10248</t>
  </si>
  <si>
    <t>ACC-HDB-OS</t>
  </si>
  <si>
    <t>Embellished Handbag</t>
  </si>
  <si>
    <t>UT-100250</t>
  </si>
  <si>
    <t>CUST_10249</t>
  </si>
  <si>
    <t>TOP-NYE-XS</t>
  </si>
  <si>
    <t>Party Bodysuit</t>
  </si>
  <si>
    <t>UT-100251</t>
  </si>
  <si>
    <t>CUST_10250</t>
  </si>
  <si>
    <t>DRS-CCT-S</t>
  </si>
  <si>
    <t>UT-100252</t>
  </si>
  <si>
    <t>CUST_10251</t>
  </si>
  <si>
    <t>BOT-SQN-M</t>
  </si>
  <si>
    <t>UT-100253</t>
  </si>
  <si>
    <t>CUST_10252</t>
  </si>
  <si>
    <t>OUT-BLZ-S</t>
  </si>
  <si>
    <t>Tuxedo Blazer</t>
  </si>
  <si>
    <t>UT-100254</t>
  </si>
  <si>
    <t>CUST_10253</t>
  </si>
  <si>
    <t>ACC-TRA-OS</t>
  </si>
  <si>
    <t>Tiara Headband</t>
  </si>
  <si>
    <t>UT-100255</t>
  </si>
  <si>
    <t>CUST_10254</t>
  </si>
  <si>
    <t>UT-100256</t>
  </si>
  <si>
    <t>CUST_10255</t>
  </si>
  <si>
    <t>DRS-BLB-S</t>
  </si>
  <si>
    <t>Balloon Sleeve Dress</t>
  </si>
  <si>
    <t>UT-100257</t>
  </si>
  <si>
    <t>CUST_10256</t>
  </si>
  <si>
    <t>BOT-WDE-L</t>
  </si>
  <si>
    <t>UT-100258</t>
  </si>
  <si>
    <t>CUST_10257</t>
  </si>
  <si>
    <t>OUT-SQN-M</t>
  </si>
  <si>
    <t>Sequin Jacket</t>
  </si>
  <si>
    <t>UT-100259</t>
  </si>
  <si>
    <t>CUST_10258</t>
  </si>
  <si>
    <t>ACC-PRT-OS</t>
  </si>
  <si>
    <t>Party Earrings</t>
  </si>
  <si>
    <t>UT-100260</t>
  </si>
  <si>
    <t>CUST_10259</t>
  </si>
  <si>
    <t>TOP-FTH-S</t>
  </si>
  <si>
    <t>Feather Trim Top</t>
  </si>
  <si>
    <t>UT-100261</t>
  </si>
  <si>
    <t>CUST_10260</t>
  </si>
  <si>
    <t>DRS-PRY-M</t>
  </si>
  <si>
    <t>Party Maxi</t>
  </si>
  <si>
    <t>UT-100262</t>
  </si>
  <si>
    <t>CUST_10261</t>
  </si>
  <si>
    <t>BOT-GLM-S</t>
  </si>
  <si>
    <t>Glam Pants</t>
  </si>
  <si>
    <t>UT-100263</t>
  </si>
  <si>
    <t>CUST_10262</t>
  </si>
  <si>
    <t>OUT-LME-L</t>
  </si>
  <si>
    <t>Lame Blazer</t>
  </si>
  <si>
    <t>UT-100264</t>
  </si>
  <si>
    <t>CUST_10263</t>
  </si>
  <si>
    <t>ACC-NYE-OS</t>
  </si>
  <si>
    <t>NYE Headpiece</t>
  </si>
  <si>
    <t>UT-100265</t>
  </si>
  <si>
    <t>CUST_10264</t>
  </si>
  <si>
    <t>TOP-SHM-M</t>
  </si>
  <si>
    <t>Shimmer Top</t>
  </si>
  <si>
    <t>UT-100266</t>
  </si>
  <si>
    <t>CUST_10265</t>
  </si>
  <si>
    <t>DRS-CNT-L</t>
  </si>
  <si>
    <t>Countdown Dress</t>
  </si>
  <si>
    <t>UT-100267</t>
  </si>
  <si>
    <t>CUST_10266</t>
  </si>
  <si>
    <t>BOT-CHM-S</t>
  </si>
  <si>
    <t>Champagne Pants</t>
  </si>
  <si>
    <t>UT-100268</t>
  </si>
  <si>
    <t>CUST_10267</t>
  </si>
  <si>
    <t>OUT-RSE-M</t>
  </si>
  <si>
    <t>Rose Gold Jacket</t>
  </si>
  <si>
    <t>UT-100269</t>
  </si>
  <si>
    <t>CUST_10268</t>
  </si>
  <si>
    <t>ACC-MSK-OS</t>
  </si>
  <si>
    <t>Mask Chain</t>
  </si>
  <si>
    <t>UT-100270</t>
  </si>
  <si>
    <t>CUST_10269</t>
  </si>
  <si>
    <t>TOP-CEL-L</t>
  </si>
  <si>
    <t>Celebration Top</t>
  </si>
  <si>
    <t>UT-100271</t>
  </si>
  <si>
    <t>CUST_10270</t>
  </si>
  <si>
    <t>DRS-MID-S</t>
  </si>
  <si>
    <t>Midnight Dress</t>
  </si>
  <si>
    <t>UT-100272</t>
  </si>
  <si>
    <t>CUST_10271</t>
  </si>
  <si>
    <t>BOT-NYS-M</t>
  </si>
  <si>
    <t>NYE Skirt</t>
  </si>
  <si>
    <t>UT-100273</t>
  </si>
  <si>
    <t>CUST_10272</t>
  </si>
  <si>
    <t>OUT-FRS-L</t>
  </si>
  <si>
    <t>Frost Jacket</t>
  </si>
  <si>
    <t>UT-100274</t>
  </si>
  <si>
    <t>CUST_10273</t>
  </si>
  <si>
    <t>ACC-SPR-OS</t>
  </si>
  <si>
    <t>Sparkle Hair Clip</t>
  </si>
  <si>
    <t>UT-100275</t>
  </si>
  <si>
    <t>CUST_10274</t>
  </si>
  <si>
    <t>TOP-GLS-M</t>
  </si>
  <si>
    <t>Glass Bead Top</t>
  </si>
  <si>
    <t>UT-100276</t>
  </si>
  <si>
    <t>CUST_10275</t>
  </si>
  <si>
    <t>DRS-FNL-L</t>
  </si>
  <si>
    <t>Finale Gown</t>
  </si>
  <si>
    <t>UT-100277</t>
  </si>
  <si>
    <t>CUST_10276</t>
  </si>
  <si>
    <t>BOT-PRY-S</t>
  </si>
  <si>
    <t>Party Leggings</t>
  </si>
  <si>
    <t>UT-100278</t>
  </si>
  <si>
    <t>CUST_10277</t>
  </si>
  <si>
    <t>OUT-CHR-M</t>
  </si>
  <si>
    <t>Christmas Jacket</t>
  </si>
  <si>
    <t>UT-100279</t>
  </si>
  <si>
    <t>CUST_10278</t>
  </si>
  <si>
    <t>ACC-BLS-OS</t>
  </si>
  <si>
    <t>Blush Bag</t>
  </si>
  <si>
    <t>UT-100280</t>
  </si>
  <si>
    <t>CUST_10279</t>
  </si>
  <si>
    <t>TOP-YRS-L</t>
  </si>
  <si>
    <t>Year End Top</t>
  </si>
  <si>
    <t>UT-100281</t>
  </si>
  <si>
    <t>CUST_10280</t>
  </si>
  <si>
    <t>Evening Elegance</t>
  </si>
  <si>
    <t>UT-100282</t>
  </si>
  <si>
    <t>CUST_10281</t>
  </si>
  <si>
    <t>BOT-FNS-M</t>
  </si>
  <si>
    <t>Finish Line Pants</t>
  </si>
  <si>
    <t>UT-100283</t>
  </si>
  <si>
    <t>CUST_10282</t>
  </si>
  <si>
    <t>OUT-NYB-L</t>
  </si>
  <si>
    <t>NYE Blazer</t>
  </si>
  <si>
    <t>UT-100284</t>
  </si>
  <si>
    <t>CUST_10283</t>
  </si>
  <si>
    <t>ACC-CNT-OS</t>
  </si>
  <si>
    <t>Countdown Earrings</t>
  </si>
  <si>
    <t>UT-100285</t>
  </si>
  <si>
    <t>CUST_10284</t>
  </si>
  <si>
    <t>TOP-LST-S</t>
  </si>
  <si>
    <t>Last Dance Top</t>
  </si>
  <si>
    <t>UT-100286</t>
  </si>
  <si>
    <t>CUST_10285</t>
  </si>
  <si>
    <t>DRS-BLS-M</t>
  </si>
  <si>
    <t>Bliss Dress</t>
  </si>
  <si>
    <t>UT-100287</t>
  </si>
  <si>
    <t>CUST_10286</t>
  </si>
  <si>
    <t>BOT-END-L</t>
  </si>
  <si>
    <t>Year End Pants</t>
  </si>
  <si>
    <t>UT-100288</t>
  </si>
  <si>
    <t>CUST_10287</t>
  </si>
  <si>
    <t>OUT-CLB-M</t>
  </si>
  <si>
    <t>Celebration Blazer</t>
  </si>
  <si>
    <t>UT-100289</t>
  </si>
  <si>
    <t>CUST_10288</t>
  </si>
  <si>
    <t>ACC-FNL-OS</t>
  </si>
  <si>
    <t>Finale Necklace</t>
  </si>
  <si>
    <t>UT-100290</t>
  </si>
  <si>
    <t>CUST_10289</t>
  </si>
  <si>
    <t>TOP-PRY-M</t>
  </si>
  <si>
    <t>Party Essential Top</t>
  </si>
  <si>
    <t>UT-100291</t>
  </si>
  <si>
    <t>CUST_10290</t>
  </si>
  <si>
    <t>DRS-SHN-L</t>
  </si>
  <si>
    <t>Shine On Dress</t>
  </si>
  <si>
    <t>UT-100292</t>
  </si>
  <si>
    <t>CUST_10291</t>
  </si>
  <si>
    <t>BOT-GLD-S</t>
  </si>
  <si>
    <t>Gold Rush Pants</t>
  </si>
  <si>
    <t>UT-100293</t>
  </si>
  <si>
    <t>CUST_10292</t>
  </si>
  <si>
    <t>OUT-DZL-M</t>
  </si>
  <si>
    <t>Dazzle Jacket</t>
  </si>
  <si>
    <t>UT-100294</t>
  </si>
  <si>
    <t>CUST_10293</t>
  </si>
  <si>
    <t>ACC-GLW-OS</t>
  </si>
  <si>
    <t>Glow Bracelet</t>
  </si>
  <si>
    <t>UT-100295</t>
  </si>
  <si>
    <t>CUST_10294</t>
  </si>
  <si>
    <t>TOP-SLB-L</t>
  </si>
  <si>
    <t>Celebrate Top</t>
  </si>
  <si>
    <t>UT-100296</t>
  </si>
  <si>
    <t>CUST_10295</t>
  </si>
  <si>
    <t>DRS-RDY-S</t>
  </si>
  <si>
    <t>Ready to Party Dress</t>
  </si>
  <si>
    <t>UT-100297</t>
  </si>
  <si>
    <t>CUST_10296</t>
  </si>
  <si>
    <t>BOT-BRT-M</t>
  </si>
  <si>
    <t>Bright Night Pants</t>
  </si>
  <si>
    <t>UT-100298</t>
  </si>
  <si>
    <t>CUST_10297</t>
  </si>
  <si>
    <t>OUT-END-L</t>
  </si>
  <si>
    <t>End of Year Coat</t>
  </si>
  <si>
    <t>UT-100299</t>
  </si>
  <si>
    <t>CUST_10298</t>
  </si>
  <si>
    <t>ACC-MRY-OS</t>
  </si>
  <si>
    <t>Merry Earrings</t>
  </si>
  <si>
    <t>UT-100300</t>
  </si>
  <si>
    <t>CUST_10299</t>
  </si>
  <si>
    <t>TOP-JOY-M</t>
  </si>
  <si>
    <t>Joyful Top</t>
  </si>
  <si>
    <t>UT-100301</t>
  </si>
  <si>
    <t>CUST_10300</t>
  </si>
  <si>
    <t>DRS-WND-L</t>
  </si>
  <si>
    <t>Winter Wonder Dress</t>
  </si>
  <si>
    <t>UT-100302</t>
  </si>
  <si>
    <t>CUST_10301</t>
  </si>
  <si>
    <t>BOT-FST-S</t>
  </si>
  <si>
    <t>Festive Pants</t>
  </si>
  <si>
    <t>UT-100303</t>
  </si>
  <si>
    <t>CUST_10302</t>
  </si>
  <si>
    <t>OUT-HOL-M</t>
  </si>
  <si>
    <t>Holiday Jacket</t>
  </si>
  <si>
    <t>UT-100304</t>
  </si>
  <si>
    <t>CUST_10303</t>
  </si>
  <si>
    <t>ACC-CHR-OS</t>
  </si>
  <si>
    <t>Christmas Brooch</t>
  </si>
  <si>
    <t>UT-100305</t>
  </si>
  <si>
    <t>CUST_10304</t>
  </si>
  <si>
    <t>TOP-SNW-L</t>
  </si>
  <si>
    <t>Snow White Top</t>
  </si>
  <si>
    <t>UT-100306</t>
  </si>
  <si>
    <t>CUST_10305</t>
  </si>
  <si>
    <t>DRS-ICE-S</t>
  </si>
  <si>
    <t>Ice Queen Dress</t>
  </si>
  <si>
    <t>UT-100307</t>
  </si>
  <si>
    <t>CUST_10306</t>
  </si>
  <si>
    <t>BOT-FRZ-M</t>
  </si>
  <si>
    <t>Frozen Pants</t>
  </si>
  <si>
    <t>UT-100308</t>
  </si>
  <si>
    <t>CUST_10307</t>
  </si>
  <si>
    <t>OUT-WNT-L</t>
  </si>
  <si>
    <t>Winter Wonderland Coat</t>
  </si>
  <si>
    <t>UT-100309</t>
  </si>
  <si>
    <t>CUST_10308</t>
  </si>
  <si>
    <t>ACC-SNF-OS</t>
  </si>
  <si>
    <t>Snowflake Pendant</t>
  </si>
  <si>
    <t>UT-100310</t>
  </si>
  <si>
    <t>CUST_10309</t>
  </si>
  <si>
    <t>TOP-XMS-M</t>
  </si>
  <si>
    <t>Christmas Spirit Top</t>
  </si>
  <si>
    <t>UT-100311</t>
  </si>
  <si>
    <t>CUST_10310</t>
  </si>
  <si>
    <t>DRS-NYR-L</t>
  </si>
  <si>
    <t>New Year Ready Dress</t>
  </si>
  <si>
    <t>UT-100312</t>
  </si>
  <si>
    <t>CUST_10311</t>
  </si>
  <si>
    <t>BOT-HLD-S</t>
  </si>
  <si>
    <t>Holiday Special Pants</t>
  </si>
  <si>
    <t>UT-100313</t>
  </si>
  <si>
    <t>CUST_10312</t>
  </si>
  <si>
    <t>OUT-CEL-M</t>
  </si>
  <si>
    <t>Celebrate Blazer</t>
  </si>
  <si>
    <t>UT-100314</t>
  </si>
  <si>
    <t>CUST_10313</t>
  </si>
  <si>
    <t>ACC-WRM-OS</t>
  </si>
  <si>
    <t>Warm Wishes Scarf</t>
  </si>
  <si>
    <t>UT-100315</t>
  </si>
  <si>
    <t>CUST_10314</t>
  </si>
  <si>
    <t>TOP-FLK-L</t>
  </si>
  <si>
    <t>Snowflake Top</t>
  </si>
  <si>
    <t>UT-100316</t>
  </si>
  <si>
    <t>CUST_10315</t>
  </si>
  <si>
    <t>DRS-SPR-S</t>
  </si>
  <si>
    <t>Sparkle Season Dress</t>
  </si>
  <si>
    <t>UT-100317</t>
  </si>
  <si>
    <t>CUST_10316</t>
  </si>
  <si>
    <t>BOT-CHR-M</t>
  </si>
  <si>
    <t>Cheer Pants</t>
  </si>
  <si>
    <t>UT-100318</t>
  </si>
  <si>
    <t>CUST_10317</t>
  </si>
  <si>
    <t>OUT-XMS-L</t>
  </si>
  <si>
    <t>Christmas Coat</t>
  </si>
  <si>
    <t>UT-100319</t>
  </si>
  <si>
    <t>CUST_10318</t>
  </si>
  <si>
    <t>ACC-BEL-OS</t>
  </si>
  <si>
    <t>Bell Earrings</t>
  </si>
  <si>
    <t>UT-100320</t>
  </si>
  <si>
    <t>CUST_10319</t>
  </si>
  <si>
    <t>TOP-RDR-M</t>
  </si>
  <si>
    <t>Reindeer Top</t>
  </si>
  <si>
    <t>UT-100321</t>
  </si>
  <si>
    <t>CUST_10320</t>
  </si>
  <si>
    <t>DRS-STR-L</t>
  </si>
  <si>
    <t>Star Bright Dress</t>
  </si>
  <si>
    <t>UT-100322</t>
  </si>
  <si>
    <t>CUST_10321</t>
  </si>
  <si>
    <t>BOT-MRY-S</t>
  </si>
  <si>
    <t>Merry Leggings</t>
  </si>
  <si>
    <t>UT-100323</t>
  </si>
  <si>
    <t>CUST_10322</t>
  </si>
  <si>
    <t>OUT-JOL-M</t>
  </si>
  <si>
    <t>Jolly Jacket</t>
  </si>
  <si>
    <t>UT-100324</t>
  </si>
  <si>
    <t>CUST_10323</t>
  </si>
  <si>
    <t>ACC-GFT-OS</t>
  </si>
  <si>
    <t>Gift Box Clutch</t>
  </si>
  <si>
    <t>UT-100325</t>
  </si>
  <si>
    <t>CUST_10324</t>
  </si>
  <si>
    <t>TOP-HLY-L</t>
  </si>
  <si>
    <t>Holly Top</t>
  </si>
  <si>
    <t>UT-100326</t>
  </si>
  <si>
    <t>CUST_10325</t>
  </si>
  <si>
    <t>DRS-BOX-S</t>
  </si>
  <si>
    <t>Boxing Day Dress</t>
  </si>
  <si>
    <t>UT-100327</t>
  </si>
  <si>
    <t>CUST_10326</t>
  </si>
  <si>
    <t>BOT-SLE-M</t>
  </si>
  <si>
    <t>Sale Season Pants</t>
  </si>
  <si>
    <t>UT-100328</t>
  </si>
  <si>
    <t>CUST_10327</t>
  </si>
  <si>
    <t>OUT-SAL-L</t>
  </si>
  <si>
    <t>Sale Special Coat</t>
  </si>
  <si>
    <t>UT-100329</t>
  </si>
  <si>
    <t>CUST_10328</t>
  </si>
  <si>
    <t>ACC-DIS-OS</t>
  </si>
  <si>
    <t>Discount Find Bag</t>
  </si>
  <si>
    <t>UT-100330</t>
  </si>
  <si>
    <t>CUST_10329</t>
  </si>
  <si>
    <t>TOP-CLR-M</t>
  </si>
  <si>
    <t>Clearance Top</t>
  </si>
  <si>
    <t>UT-100331</t>
  </si>
  <si>
    <t>CUST_10330</t>
  </si>
  <si>
    <t>DRS-END-L</t>
  </si>
  <si>
    <t>Year End Dress</t>
  </si>
  <si>
    <t>UT-100332</t>
  </si>
  <si>
    <t>CUST_10331</t>
  </si>
  <si>
    <t>BOT-FNL-S</t>
  </si>
  <si>
    <t>Final Sale Pants</t>
  </si>
  <si>
    <t>UT-100333</t>
  </si>
  <si>
    <t>CUST_10332</t>
  </si>
  <si>
    <t>OUT-LST-M</t>
  </si>
  <si>
    <t>Last Chance Jacket</t>
  </si>
  <si>
    <t>UT-100334</t>
  </si>
  <si>
    <t>CUST_10333</t>
  </si>
  <si>
    <t>ACC-NWY-OS</t>
  </si>
  <si>
    <t>New Year Tiara</t>
  </si>
  <si>
    <t>UT-100335</t>
  </si>
  <si>
    <t>CUST_10334</t>
  </si>
  <si>
    <t>TOP-BYE-L</t>
  </si>
  <si>
    <t>Goodbye 2024 Top</t>
  </si>
  <si>
    <t>UT-100336</t>
  </si>
  <si>
    <t>CUST_10335</t>
  </si>
  <si>
    <t>DRS-WLC-S</t>
  </si>
  <si>
    <t>Welcome 2025 Dress</t>
  </si>
  <si>
    <t>UT-100337</t>
  </si>
  <si>
    <t>CUST_10336</t>
  </si>
  <si>
    <t>BOT-RES-M</t>
  </si>
  <si>
    <t>Resolution Pants</t>
  </si>
  <si>
    <t>UT-100338</t>
  </si>
  <si>
    <t>CUST_10337</t>
  </si>
  <si>
    <t>OUT-HOP-L</t>
  </si>
  <si>
    <t>Hope Coat</t>
  </si>
  <si>
    <t>UT-100339</t>
  </si>
  <si>
    <t>CUST_10338</t>
  </si>
  <si>
    <t>ACC-DRM-OS</t>
  </si>
  <si>
    <t>Dream Catcher Earrings</t>
  </si>
  <si>
    <t>UT-100340</t>
  </si>
  <si>
    <t>CUST_10340</t>
  </si>
  <si>
    <t>TOP-WIS-M</t>
  </si>
  <si>
    <t>Wishes Top</t>
  </si>
  <si>
    <t>UT-100341</t>
  </si>
  <si>
    <t>DRS-PRO-L</t>
  </si>
  <si>
    <t>Promise Dress</t>
  </si>
  <si>
    <t>UT-100342</t>
  </si>
  <si>
    <t>CUST_10341</t>
  </si>
  <si>
    <t>BOT-NEW-S</t>
  </si>
  <si>
    <t>New Beginning Pants</t>
  </si>
  <si>
    <t>UT-100343</t>
  </si>
  <si>
    <t>CUST_10342</t>
  </si>
  <si>
    <t>OUT-FRE-M</t>
  </si>
  <si>
    <t>Fresh Start Jacket</t>
  </si>
  <si>
    <t>UT-100344</t>
  </si>
  <si>
    <t>CUST_10343</t>
  </si>
  <si>
    <t>ACC-LCK-OS</t>
  </si>
  <si>
    <t>Lucky Charm Bracelet</t>
  </si>
  <si>
    <t>UT-100345</t>
  </si>
  <si>
    <t>CUST_10344</t>
  </si>
  <si>
    <t>TOP-BEG-L</t>
  </si>
  <si>
    <t>Begin Again Top</t>
  </si>
  <si>
    <t>UT-100346</t>
  </si>
  <si>
    <t>CUST_10345</t>
  </si>
  <si>
    <t>DRS-CNT-S</t>
  </si>
  <si>
    <t>Issue Type</t>
  </si>
  <si>
    <t>Column Name</t>
  </si>
  <si>
    <t>Example</t>
  </si>
  <si>
    <t xml:space="preserve">Why </t>
  </si>
  <si>
    <t>Expected or Error</t>
  </si>
  <si>
    <t>Action</t>
  </si>
  <si>
    <t xml:space="preserve">Missing Value </t>
  </si>
  <si>
    <t>Deivery_date</t>
  </si>
  <si>
    <t>RTO orders</t>
  </si>
  <si>
    <t xml:space="preserve">Delivery never completed </t>
  </si>
  <si>
    <t xml:space="preserve">Expected </t>
  </si>
  <si>
    <t>Left Blank</t>
  </si>
  <si>
    <t>Return_reason</t>
  </si>
  <si>
    <t>RTO orders never reach customers,so no returns exist</t>
  </si>
  <si>
    <t>Expected</t>
  </si>
  <si>
    <t>Return_recieved</t>
  </si>
  <si>
    <t>Items returned to warehouse without customer return</t>
  </si>
  <si>
    <t>Duplicate Check</t>
  </si>
  <si>
    <t>All Rows</t>
  </si>
  <si>
    <t>Each order_id is unique</t>
  </si>
  <si>
    <t>No action Needed</t>
  </si>
  <si>
    <t>Format Inconsistency</t>
  </si>
  <si>
    <t>Delivery Status</t>
  </si>
  <si>
    <t>"Delievered"</t>
  </si>
  <si>
    <t>Typo error</t>
  </si>
  <si>
    <t>Error</t>
  </si>
  <si>
    <t>Fixed the typo mistake with find and replace method</t>
  </si>
  <si>
    <t>Format Check</t>
  </si>
  <si>
    <t>Multiple text columns</t>
  </si>
  <si>
    <t>delivery_status,payment_method etc</t>
  </si>
  <si>
    <t>Checked for spelling,spaces etc</t>
  </si>
  <si>
    <t>No futher action needed</t>
  </si>
  <si>
    <t>Outlier Issue</t>
  </si>
  <si>
    <t>Quantity</t>
  </si>
  <si>
    <t>Quantity cannot be in negative</t>
  </si>
  <si>
    <t>Flagged and excluded from KPI calculations</t>
  </si>
  <si>
    <t>valid_quantity_flag</t>
  </si>
  <si>
    <t>Outlier / Logical issue</t>
  </si>
  <si>
    <t>Rule ID</t>
  </si>
  <si>
    <t>Count of Order ID</t>
  </si>
  <si>
    <t>Row Labels</t>
  </si>
  <si>
    <t>Grand Total</t>
  </si>
  <si>
    <t>Valid</t>
  </si>
  <si>
    <t>Sum of Qty</t>
  </si>
  <si>
    <t>Sum of Total</t>
  </si>
  <si>
    <t>Discount_amount</t>
  </si>
  <si>
    <t>Net revenue</t>
  </si>
  <si>
    <t>Sum of Discount_amount</t>
  </si>
  <si>
    <t>Average order value</t>
  </si>
  <si>
    <t>Total Delivered Orders</t>
  </si>
  <si>
    <t>Returned Delivered Orders</t>
  </si>
  <si>
    <t>Order Return Rate</t>
  </si>
  <si>
    <t>Order_month</t>
  </si>
  <si>
    <t>01-2024</t>
  </si>
  <si>
    <t>10-2024</t>
  </si>
  <si>
    <t>11-2024</t>
  </si>
  <si>
    <t>12-2024</t>
  </si>
  <si>
    <t>(Monthly order volume)</t>
  </si>
  <si>
    <t>(Overall Return Rate)</t>
  </si>
  <si>
    <t>Validation Check</t>
  </si>
  <si>
    <t>Result</t>
  </si>
  <si>
    <t>Notes</t>
  </si>
  <si>
    <t>V1</t>
  </si>
  <si>
    <t>order_id format UT-XXXXXX</t>
  </si>
  <si>
    <t>Pass</t>
  </si>
  <si>
    <t>All IDs consistent</t>
  </si>
  <si>
    <t>V2</t>
  </si>
  <si>
    <t>customer_type values</t>
  </si>
  <si>
    <t>New / Returning only</t>
  </si>
  <si>
    <t>V3</t>
  </si>
  <si>
    <t>quantity positive integer</t>
  </si>
  <si>
    <t>Fail</t>
  </si>
  <si>
    <t>-1 flagged &amp; excluded</t>
  </si>
  <si>
    <t>V4</t>
  </si>
  <si>
    <t>discount_percent 0–100</t>
  </si>
  <si>
    <t>No outliers</t>
  </si>
  <si>
    <t>V5</t>
  </si>
  <si>
    <t>order_date in Q4 2024</t>
  </si>
  <si>
    <t>All dates in range</t>
  </si>
  <si>
    <t>V6</t>
  </si>
  <si>
    <t>payment_method valid</t>
  </si>
  <si>
    <t>No invalid methods</t>
  </si>
  <si>
    <t>V7</t>
  </si>
  <si>
    <t>Delivered → delivery_date</t>
  </si>
  <si>
    <t>No missing dates</t>
  </si>
  <si>
    <t>V8</t>
  </si>
  <si>
    <t>No return → blank reason</t>
  </si>
  <si>
    <t>Business logic OK</t>
  </si>
  <si>
    <t>V9</t>
  </si>
  <si>
    <t>warehouse_origin valid</t>
  </si>
  <si>
    <t>Mumbai/Delhi/Bangalore</t>
  </si>
  <si>
    <t>V10</t>
  </si>
  <si>
    <t>refund_status logic</t>
  </si>
  <si>
    <t>Consistent</t>
  </si>
  <si>
    <t>Order_week</t>
  </si>
  <si>
    <t>2024-W2</t>
  </si>
  <si>
    <t>2024-W40</t>
  </si>
  <si>
    <t>2024-W41</t>
  </si>
  <si>
    <t>2024-W42</t>
  </si>
  <si>
    <t>2024-W43</t>
  </si>
  <si>
    <t>2024-W44</t>
  </si>
  <si>
    <t>2024-W45</t>
  </si>
  <si>
    <t>2024-W46</t>
  </si>
  <si>
    <t>2024-W47</t>
  </si>
  <si>
    <t>2024-W48</t>
  </si>
  <si>
    <t>2024-W49</t>
  </si>
  <si>
    <t>2024-W50</t>
  </si>
  <si>
    <t>2024-W51</t>
  </si>
  <si>
    <t>2024-W52</t>
  </si>
  <si>
    <t>2024-W53</t>
  </si>
  <si>
    <t>(Diwali spike -Yes)</t>
  </si>
  <si>
    <t>Weekly Trend Analysis</t>
  </si>
  <si>
    <t>Total Orders Delivered</t>
  </si>
  <si>
    <t>Segmentation Analysis</t>
  </si>
  <si>
    <t>Return rate</t>
  </si>
  <si>
    <t>Order volume by customer type</t>
  </si>
  <si>
    <t>Sum of Net revenue</t>
  </si>
  <si>
    <t>AOV for New customers</t>
  </si>
  <si>
    <t>AOV for return customers</t>
  </si>
  <si>
    <t>Overall AOV</t>
  </si>
  <si>
    <t>Segment A (Customer Type)</t>
  </si>
  <si>
    <t>SegmentB(Order Source)</t>
  </si>
  <si>
    <t>Order Volume by source</t>
  </si>
  <si>
    <t>Order Volume by source(Delivered)</t>
  </si>
  <si>
    <t>Order Volume by source(Returned)</t>
  </si>
  <si>
    <t>AOV by source</t>
  </si>
  <si>
    <t>Count of Order Date</t>
  </si>
  <si>
    <t xml:space="preserve">Return rate (Instagram shop) </t>
  </si>
  <si>
    <t xml:space="preserve">Return rate (Mobile App) </t>
  </si>
  <si>
    <t xml:space="preserve">Return rate (Website) </t>
  </si>
  <si>
    <t xml:space="preserve">AOV  (Instagram shop) </t>
  </si>
  <si>
    <t xml:space="preserve">AOV (Mobile App) </t>
  </si>
  <si>
    <t xml:space="preserve">AOV (Website) </t>
  </si>
  <si>
    <t>Prepaid</t>
  </si>
  <si>
    <t>Payment Type</t>
  </si>
  <si>
    <t>Payment type volume</t>
  </si>
  <si>
    <t>Payment Type (Delivered)</t>
  </si>
  <si>
    <t>SegmentC(Payment)</t>
  </si>
  <si>
    <t>Return rate(COD)</t>
  </si>
  <si>
    <t>Return rate(Prepaid)</t>
  </si>
  <si>
    <t>SegmentD(Product Category)</t>
  </si>
  <si>
    <t>Category wise Order Volume</t>
  </si>
  <si>
    <t>Category wise Order Volume(delivered)</t>
  </si>
  <si>
    <t>Return Rate(Accessories)</t>
  </si>
  <si>
    <t>Return Rate(Bottoms)</t>
  </si>
  <si>
    <t>Return Rate(Dresses)</t>
  </si>
  <si>
    <t>Return Rate(outerwear)</t>
  </si>
  <si>
    <t>Return Rate(Tops)</t>
  </si>
  <si>
    <t>KPI</t>
  </si>
  <si>
    <t>Definition</t>
  </si>
  <si>
    <t>Value</t>
  </si>
  <si>
    <t>GMV</t>
  </si>
  <si>
    <t>Σ order_total</t>
  </si>
  <si>
    <t>Net Revenue</t>
  </si>
  <si>
    <t>GMV − Discounts</t>
  </si>
  <si>
    <t>Return Rate</t>
  </si>
  <si>
    <t>Returned Delivered / Delivered</t>
  </si>
  <si>
    <t>RTO Rate</t>
  </si>
  <si>
    <t>RTO / Shipped Orders</t>
  </si>
  <si>
    <t>Refund Processing Rate</t>
  </si>
  <si>
    <t>Processed / Return Received</t>
  </si>
  <si>
    <t>First-Time Buyer Return Rate</t>
  </si>
  <si>
    <t>Returns(New) / Delivered(New)</t>
  </si>
  <si>
    <t>Repeat Buyer Return Rate</t>
  </si>
  <si>
    <t>Returns(Returning) / Delivered(Returning)</t>
  </si>
  <si>
    <t>Fulfillment Split</t>
  </si>
  <si>
    <t>Orders by Warehouse</t>
  </si>
  <si>
    <t>See below</t>
  </si>
  <si>
    <t>Return to Origin Rate</t>
  </si>
  <si>
    <t>(Multiple Items)</t>
  </si>
  <si>
    <t>First time buyer return rate(delivered orders new customers)</t>
  </si>
  <si>
    <t>First time buyer return rate(Returned orders new customers)</t>
  </si>
  <si>
    <t>Repeat time buyer return rate(delivered orders Returning Customers)</t>
  </si>
  <si>
    <t>Repeat time buyer return rate(Returned orders Returning Customers)</t>
  </si>
  <si>
    <t>Fullfilment split by warehouse</t>
  </si>
  <si>
    <t>Percentage</t>
  </si>
  <si>
    <t>Descriptive Analysis</t>
  </si>
  <si>
    <t>Metric</t>
  </si>
  <si>
    <t>Total Orders</t>
  </si>
  <si>
    <t>Total Revenue (After Discounts)</t>
  </si>
  <si>
    <t>Total Units Sold</t>
  </si>
  <si>
    <t>Average Order Value (AOV)</t>
  </si>
  <si>
    <t>Overall Return Rate</t>
  </si>
  <si>
    <t>Summary(Final Values)</t>
  </si>
  <si>
    <t>Monthly Order Breakdown(Final Values)</t>
  </si>
  <si>
    <t>Month</t>
  </si>
  <si>
    <t>Orders</t>
  </si>
  <si>
    <t>Total(Valid Orders)</t>
  </si>
  <si>
    <t>TREND IDENTIFICATION(Weekly)</t>
  </si>
  <si>
    <t>Week Number</t>
  </si>
  <si>
    <t>Total Orders (By week)</t>
  </si>
  <si>
    <t>(Diwali Spike Week)</t>
  </si>
  <si>
    <t>Segment A — Customer Type</t>
  </si>
  <si>
    <t xml:space="preserve">Customer Type </t>
  </si>
  <si>
    <t>AOV</t>
  </si>
  <si>
    <t>Delivered Orders (New customers)</t>
  </si>
  <si>
    <t>Returned Delivered Orders (New customers)</t>
  </si>
  <si>
    <t>New customers (Return Rate)</t>
  </si>
  <si>
    <t>Returning customers (Return Rate)</t>
  </si>
  <si>
    <t>Delivered Orders (Returning customers)</t>
  </si>
  <si>
    <t>Returned Delivered Orders (Returning customers)</t>
  </si>
  <si>
    <t>Segment B — Order Source</t>
  </si>
  <si>
    <t>Segment C — Payment Method</t>
  </si>
  <si>
    <t xml:space="preserve">Payment Type </t>
  </si>
  <si>
    <t>Segment D — Product Category</t>
  </si>
  <si>
    <t>KPI Calculations</t>
  </si>
  <si>
    <t xml:space="preserve">KPI </t>
  </si>
  <si>
    <t>Final value</t>
  </si>
  <si>
    <t>First Time Buyer Return Rate</t>
  </si>
  <si>
    <t>Fulfillment Split (FINAL VALUES)</t>
  </si>
  <si>
    <t xml:space="preserve">Warehouse </t>
  </si>
  <si>
    <t>Orders Handled by warehouse</t>
  </si>
  <si>
    <t>Business Interpretation</t>
  </si>
  <si>
    <t xml:space="preserve">Week </t>
  </si>
  <si>
    <t>Delivered Orders</t>
  </si>
  <si>
    <t>Visulalization 1</t>
  </si>
  <si>
    <t>Visualization 2</t>
  </si>
  <si>
    <t>Product Category</t>
  </si>
  <si>
    <t>Overall  Average</t>
  </si>
  <si>
    <t>Visualization 3</t>
  </si>
  <si>
    <t>Return Reason</t>
  </si>
  <si>
    <t>Percentage of returns by product category</t>
  </si>
  <si>
    <t>Visualization 4</t>
  </si>
  <si>
    <t>Column Labels</t>
  </si>
  <si>
    <t>Order Source</t>
  </si>
  <si>
    <t>Returned</t>
  </si>
  <si>
    <t>Visualization 5</t>
  </si>
  <si>
    <t xml:space="preserve">RTO Orders </t>
  </si>
  <si>
    <t>Shipped Orders</t>
  </si>
  <si>
    <t>RTO Rate'</t>
  </si>
  <si>
    <t>Urban Threads Q4 2024 — Returns &amp; Fulfillment Performance Dashboard</t>
  </si>
  <si>
    <t>New (%)</t>
  </si>
  <si>
    <t>Returning (%)</t>
  </si>
  <si>
    <t>PROBLEM-SOLVING</t>
  </si>
  <si>
    <t xml:space="preserve">Recommendations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</si>
</sst>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8"/>
      <color theme="1"/>
      <name val="Aptos Display"/>
      <family val="2"/>
    </font>
    <font>
      <b/>
      <sz val="14"/>
      <color theme="1"/>
      <name val="Aptos Narrow"/>
      <family val="2"/>
      <scheme val="minor"/>
    </font>
    <font>
      <b/>
      <sz val="12"/>
      <color theme="1"/>
      <name val="Aptos Narrow"/>
      <family val="2"/>
      <scheme val="minor"/>
    </font>
    <font>
      <sz val="18"/>
      <color theme="0"/>
      <name val="Arial"/>
      <family val="2"/>
    </font>
    <font>
      <b/>
      <sz val="20"/>
      <color theme="0"/>
      <name val="Aptos Display"/>
      <family val="2"/>
    </font>
    <font>
      <b/>
      <sz val="11"/>
      <color theme="0"/>
      <name val="Aptos Display"/>
      <family val="2"/>
    </font>
  </fonts>
  <fills count="3">
    <fill>
      <patternFill patternType="none"/>
    </fill>
    <fill>
      <patternFill patternType="gray125"/>
    </fill>
    <fill>
      <patternFill patternType="solid">
        <fgColor rgb="FF2F6F7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Alignment="1">
      <alignment horizontal="center"/>
    </xf>
    <xf numFmtId="49" fontId="1" fillId="0" borderId="0" xfId="0" applyNumberFormat="1" applyFont="1" applyAlignment="1">
      <alignment horizontal="center"/>
    </xf>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1" fillId="0" borderId="1" xfId="0" applyFont="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1" fillId="0" borderId="1" xfId="0" applyNumberFormat="1" applyFont="1" applyBorder="1" applyAlignment="1">
      <alignment horizontal="center"/>
    </xf>
    <xf numFmtId="17" fontId="1" fillId="0" borderId="1" xfId="0" applyNumberFormat="1" applyFont="1" applyBorder="1" applyAlignment="1">
      <alignment horizontal="center"/>
    </xf>
    <xf numFmtId="0" fontId="1" fillId="0" borderId="0" xfId="0" applyFont="1"/>
    <xf numFmtId="0" fontId="1" fillId="0" borderId="1" xfId="0" applyFont="1" applyBorder="1"/>
    <xf numFmtId="0" fontId="0" fillId="0" borderId="1" xfId="0" applyBorder="1"/>
    <xf numFmtId="0" fontId="2" fillId="0" borderId="0" xfId="0" applyFont="1" applyAlignment="1">
      <alignment horizontal="center"/>
    </xf>
    <xf numFmtId="0" fontId="2" fillId="0" borderId="0" xfId="0" applyFont="1" applyAlignment="1"/>
    <xf numFmtId="0" fontId="2" fillId="0" borderId="0" xfId="0" applyFont="1" applyAlignment="1">
      <alignment horizontal="left"/>
    </xf>
    <xf numFmtId="2" fontId="0" fillId="0" borderId="1" xfId="0" applyNumberFormat="1" applyBorder="1" applyAlignment="1">
      <alignment horizontal="center"/>
    </xf>
    <xf numFmtId="0" fontId="1" fillId="0" borderId="0" xfId="0" applyFont="1" applyFill="1" applyBorder="1" applyAlignment="1">
      <alignment horizontal="center"/>
    </xf>
    <xf numFmtId="0" fontId="0" fillId="0" borderId="1" xfId="0" applyFont="1" applyBorder="1" applyAlignment="1">
      <alignment horizontal="center"/>
    </xf>
    <xf numFmtId="2" fontId="0" fillId="0" borderId="0" xfId="0" applyNumberFormat="1"/>
    <xf numFmtId="2" fontId="0" fillId="0" borderId="1" xfId="0" applyNumberFormat="1" applyFont="1" applyBorder="1" applyAlignment="1">
      <alignment horizontal="center"/>
    </xf>
    <xf numFmtId="10" fontId="0" fillId="0" borderId="1" xfId="0" applyNumberFormat="1" applyFont="1" applyBorder="1" applyAlignment="1">
      <alignment horizontal="center"/>
    </xf>
    <xf numFmtId="0" fontId="1" fillId="0" borderId="1" xfId="0" applyFont="1" applyFill="1" applyBorder="1" applyAlignment="1">
      <alignment horizontal="center"/>
    </xf>
    <xf numFmtId="10" fontId="0" fillId="0" borderId="1" xfId="0" applyNumberFormat="1" applyBorder="1"/>
    <xf numFmtId="0" fontId="4" fillId="0" borderId="0" xfId="0" applyFont="1"/>
    <xf numFmtId="0" fontId="0" fillId="0" borderId="0" xfId="0" applyAlignment="1">
      <alignment horizontal="center"/>
    </xf>
    <xf numFmtId="0" fontId="0" fillId="0" borderId="0" xfId="0" pivotButton="1" applyAlignment="1">
      <alignment horizontal="center"/>
    </xf>
    <xf numFmtId="10"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5" fillId="2" borderId="0" xfId="0" applyFont="1" applyFill="1" applyAlignment="1">
      <alignment horizontal="center"/>
    </xf>
    <xf numFmtId="0" fontId="6" fillId="2" borderId="0" xfId="0" applyFont="1" applyFill="1" applyAlignment="1">
      <alignment horizontal="center"/>
    </xf>
    <xf numFmtId="0" fontId="7" fillId="2" borderId="0" xfId="0" applyFont="1" applyFill="1" applyAlignment="1">
      <alignment horizontal="center"/>
    </xf>
  </cellXfs>
  <cellStyles count="1">
    <cellStyle name="Normal" xfId="0" builtinId="0"/>
  </cellStyles>
  <dxfs count="35">
    <dxf>
      <font>
        <color rgb="FF9C0006"/>
      </font>
      <fill>
        <patternFill>
          <bgColor rgb="FFFFC7CE"/>
        </patternFill>
      </fill>
    </dxf>
    <dxf>
      <font>
        <color rgb="FF9C0006"/>
      </font>
      <fill>
        <patternFill>
          <bgColor rgb="FFFFC7CE"/>
        </patternFill>
      </fill>
    </dxf>
    <dxf>
      <numFmt numFmtId="14" formatCode="0.00%"/>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7A9CC6"/>
      <color rgb="FF2F6F73"/>
      <color rgb="FF8FAE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Delivered Orders v/s</a:t>
            </a:r>
            <a:r>
              <a:rPr lang="en-IN" baseline="0"/>
              <a:t> Weekly Return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1"/>
          <c:tx>
            <c:strRef>
              <c:f>Working_Analysis!$E$153</c:f>
              <c:strCache>
                <c:ptCount val="1"/>
                <c:pt idx="0">
                  <c:v>Return Rate</c:v>
                </c:pt>
              </c:strCache>
            </c:strRef>
          </c:tx>
          <c:spPr>
            <a:solidFill>
              <a:schemeClr val="accent4">
                <a:tint val="65000"/>
              </a:schemeClr>
            </a:solidFill>
            <a:ln>
              <a:noFill/>
            </a:ln>
            <a:effectLst/>
          </c:spPr>
          <c:invertIfNegative val="0"/>
          <c:cat>
            <c:strRef>
              <c:f>Working_Analysis!$B$154:$B$167</c:f>
              <c:strCache>
                <c:ptCount val="14"/>
                <c:pt idx="0">
                  <c:v>2024-W40</c:v>
                </c:pt>
                <c:pt idx="1">
                  <c:v>2024-W41</c:v>
                </c:pt>
                <c:pt idx="2">
                  <c:v>2024-W42</c:v>
                </c:pt>
                <c:pt idx="3">
                  <c:v>2024-W43</c:v>
                </c:pt>
                <c:pt idx="4">
                  <c:v>2024-W44</c:v>
                </c:pt>
                <c:pt idx="5">
                  <c:v>2024-W45</c:v>
                </c:pt>
                <c:pt idx="6">
                  <c:v>2024-W46</c:v>
                </c:pt>
                <c:pt idx="7">
                  <c:v>2024-W47</c:v>
                </c:pt>
                <c:pt idx="8">
                  <c:v>2024-W48</c:v>
                </c:pt>
                <c:pt idx="9">
                  <c:v>2024-W49</c:v>
                </c:pt>
                <c:pt idx="10">
                  <c:v>2024-W50</c:v>
                </c:pt>
                <c:pt idx="11">
                  <c:v>2024-W51</c:v>
                </c:pt>
                <c:pt idx="12">
                  <c:v>2024-W52</c:v>
                </c:pt>
                <c:pt idx="13">
                  <c:v>2024-W53</c:v>
                </c:pt>
              </c:strCache>
            </c:strRef>
          </c:cat>
          <c:val>
            <c:numRef>
              <c:f>Working_Analysis!$E$154:$E$167</c:f>
              <c:numCache>
                <c:formatCode>0.00%</c:formatCode>
                <c:ptCount val="14"/>
                <c:pt idx="0">
                  <c:v>0.47826086956521741</c:v>
                </c:pt>
                <c:pt idx="1">
                  <c:v>0.40740740740740738</c:v>
                </c:pt>
                <c:pt idx="2">
                  <c:v>0.5</c:v>
                </c:pt>
                <c:pt idx="3">
                  <c:v>0.41666666666666669</c:v>
                </c:pt>
                <c:pt idx="4">
                  <c:v>0.77419354838709675</c:v>
                </c:pt>
                <c:pt idx="5">
                  <c:v>0.55000000000000004</c:v>
                </c:pt>
                <c:pt idx="6">
                  <c:v>0.6</c:v>
                </c:pt>
                <c:pt idx="7">
                  <c:v>0.55000000000000004</c:v>
                </c:pt>
                <c:pt idx="8">
                  <c:v>0.61904761904761907</c:v>
                </c:pt>
                <c:pt idx="9">
                  <c:v>0.40740740740740738</c:v>
                </c:pt>
                <c:pt idx="10">
                  <c:v>0.59259259259259256</c:v>
                </c:pt>
                <c:pt idx="11">
                  <c:v>0.6071428571428571</c:v>
                </c:pt>
                <c:pt idx="12">
                  <c:v>0.6071428571428571</c:v>
                </c:pt>
                <c:pt idx="13">
                  <c:v>0.6</c:v>
                </c:pt>
              </c:numCache>
            </c:numRef>
          </c:val>
          <c:extLst>
            <c:ext xmlns:c16="http://schemas.microsoft.com/office/drawing/2014/chart" uri="{C3380CC4-5D6E-409C-BE32-E72D297353CC}">
              <c16:uniqueId val="{00000002-A1EE-4FBD-B937-8E3B73EB6435}"/>
            </c:ext>
          </c:extLst>
        </c:ser>
        <c:dLbls>
          <c:showLegendKey val="0"/>
          <c:showVal val="0"/>
          <c:showCatName val="0"/>
          <c:showSerName val="0"/>
          <c:showPercent val="0"/>
          <c:showBubbleSize val="0"/>
        </c:dLbls>
        <c:gapWidth val="219"/>
        <c:axId val="121304640"/>
        <c:axId val="121310880"/>
      </c:barChart>
      <c:lineChart>
        <c:grouping val="standard"/>
        <c:varyColors val="0"/>
        <c:ser>
          <c:idx val="0"/>
          <c:order val="0"/>
          <c:tx>
            <c:strRef>
              <c:f>Working_Analysis!$C$153</c:f>
              <c:strCache>
                <c:ptCount val="1"/>
                <c:pt idx="0">
                  <c:v>Delivered Orders</c:v>
                </c:pt>
              </c:strCache>
            </c:strRef>
          </c:tx>
          <c:spPr>
            <a:ln w="28575" cap="rnd">
              <a:solidFill>
                <a:schemeClr val="accent4">
                  <a:shade val="65000"/>
                </a:schemeClr>
              </a:solidFill>
              <a:round/>
            </a:ln>
            <a:effectLst/>
          </c:spPr>
          <c:marker>
            <c:symbol val="none"/>
          </c:marker>
          <c:cat>
            <c:strRef>
              <c:f>Working_Analysis!$B$154:$B$167</c:f>
              <c:strCache>
                <c:ptCount val="14"/>
                <c:pt idx="0">
                  <c:v>2024-W40</c:v>
                </c:pt>
                <c:pt idx="1">
                  <c:v>2024-W41</c:v>
                </c:pt>
                <c:pt idx="2">
                  <c:v>2024-W42</c:v>
                </c:pt>
                <c:pt idx="3">
                  <c:v>2024-W43</c:v>
                </c:pt>
                <c:pt idx="4">
                  <c:v>2024-W44</c:v>
                </c:pt>
                <c:pt idx="5">
                  <c:v>2024-W45</c:v>
                </c:pt>
                <c:pt idx="6">
                  <c:v>2024-W46</c:v>
                </c:pt>
                <c:pt idx="7">
                  <c:v>2024-W47</c:v>
                </c:pt>
                <c:pt idx="8">
                  <c:v>2024-W48</c:v>
                </c:pt>
                <c:pt idx="9">
                  <c:v>2024-W49</c:v>
                </c:pt>
                <c:pt idx="10">
                  <c:v>2024-W50</c:v>
                </c:pt>
                <c:pt idx="11">
                  <c:v>2024-W51</c:v>
                </c:pt>
                <c:pt idx="12">
                  <c:v>2024-W52</c:v>
                </c:pt>
                <c:pt idx="13">
                  <c:v>2024-W53</c:v>
                </c:pt>
              </c:strCache>
            </c:strRef>
          </c:cat>
          <c:val>
            <c:numRef>
              <c:f>Working_Analysis!$C$154:$C$167</c:f>
              <c:numCache>
                <c:formatCode>General</c:formatCode>
                <c:ptCount val="14"/>
                <c:pt idx="0">
                  <c:v>23</c:v>
                </c:pt>
                <c:pt idx="1">
                  <c:v>27</c:v>
                </c:pt>
                <c:pt idx="2">
                  <c:v>26</c:v>
                </c:pt>
                <c:pt idx="3">
                  <c:v>24</c:v>
                </c:pt>
                <c:pt idx="4">
                  <c:v>31</c:v>
                </c:pt>
                <c:pt idx="5">
                  <c:v>20</c:v>
                </c:pt>
                <c:pt idx="6">
                  <c:v>20</c:v>
                </c:pt>
                <c:pt idx="7">
                  <c:v>20</c:v>
                </c:pt>
                <c:pt idx="8">
                  <c:v>21</c:v>
                </c:pt>
                <c:pt idx="9">
                  <c:v>27</c:v>
                </c:pt>
                <c:pt idx="10">
                  <c:v>27</c:v>
                </c:pt>
                <c:pt idx="11">
                  <c:v>28</c:v>
                </c:pt>
                <c:pt idx="12">
                  <c:v>28</c:v>
                </c:pt>
                <c:pt idx="13">
                  <c:v>5</c:v>
                </c:pt>
              </c:numCache>
            </c:numRef>
          </c:val>
          <c:smooth val="0"/>
          <c:extLst>
            <c:ext xmlns:c16="http://schemas.microsoft.com/office/drawing/2014/chart" uri="{C3380CC4-5D6E-409C-BE32-E72D297353CC}">
              <c16:uniqueId val="{00000000-A1EE-4FBD-B937-8E3B73EB6435}"/>
            </c:ext>
          </c:extLst>
        </c:ser>
        <c:dLbls>
          <c:showLegendKey val="0"/>
          <c:showVal val="0"/>
          <c:showCatName val="0"/>
          <c:showSerName val="0"/>
          <c:showPercent val="0"/>
          <c:showBubbleSize val="0"/>
        </c:dLbls>
        <c:marker val="1"/>
        <c:smooth val="0"/>
        <c:axId val="122090608"/>
        <c:axId val="122101648"/>
      </c:lineChart>
      <c:catAx>
        <c:axId val="1213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0880"/>
        <c:crosses val="autoZero"/>
        <c:auto val="1"/>
        <c:lblAlgn val="ctr"/>
        <c:lblOffset val="100"/>
        <c:noMultiLvlLbl val="0"/>
      </c:catAx>
      <c:valAx>
        <c:axId val="121310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04640"/>
        <c:crosses val="autoZero"/>
        <c:crossBetween val="between"/>
      </c:valAx>
      <c:valAx>
        <c:axId val="122101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0608"/>
        <c:crosses val="max"/>
        <c:crossBetween val="between"/>
      </c:valAx>
      <c:catAx>
        <c:axId val="122090608"/>
        <c:scaling>
          <c:orientation val="minMax"/>
        </c:scaling>
        <c:delete val="1"/>
        <c:axPos val="b"/>
        <c:numFmt formatCode="General" sourceLinked="1"/>
        <c:majorTickMark val="out"/>
        <c:minorTickMark val="none"/>
        <c:tickLblPos val="nextTo"/>
        <c:crossAx val="122101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a:t>
            </a:r>
            <a:r>
              <a:rPr lang="en-IN" baseline="0"/>
              <a:t> Rate by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Working_Analysis!$C$171</c:f>
              <c:strCache>
                <c:ptCount val="1"/>
                <c:pt idx="0">
                  <c:v>Return Rate</c:v>
                </c:pt>
              </c:strCache>
            </c:strRef>
          </c:tx>
          <c:spPr>
            <a:solidFill>
              <a:schemeClr val="accent1"/>
            </a:solidFill>
            <a:ln>
              <a:noFill/>
            </a:ln>
            <a:effectLst/>
          </c:spPr>
          <c:invertIfNegative val="0"/>
          <c:cat>
            <c:strRef>
              <c:f>Working_Analysis!$B$172:$B$176</c:f>
              <c:strCache>
                <c:ptCount val="5"/>
                <c:pt idx="0">
                  <c:v>Accessories</c:v>
                </c:pt>
                <c:pt idx="1">
                  <c:v>Bottoms</c:v>
                </c:pt>
                <c:pt idx="2">
                  <c:v>Dresses</c:v>
                </c:pt>
                <c:pt idx="3">
                  <c:v>Outerwear</c:v>
                </c:pt>
                <c:pt idx="4">
                  <c:v>Tops</c:v>
                </c:pt>
              </c:strCache>
            </c:strRef>
          </c:cat>
          <c:val>
            <c:numRef>
              <c:f>Working_Analysis!$C$172:$C$176</c:f>
              <c:numCache>
                <c:formatCode>0.00%</c:formatCode>
                <c:ptCount val="5"/>
                <c:pt idx="0">
                  <c:v>0.24615384615384617</c:v>
                </c:pt>
                <c:pt idx="1">
                  <c:v>0.38461538461538464</c:v>
                </c:pt>
                <c:pt idx="2">
                  <c:v>0.66666666666666663</c:v>
                </c:pt>
                <c:pt idx="3">
                  <c:v>0.8</c:v>
                </c:pt>
                <c:pt idx="4">
                  <c:v>0.64179104477611937</c:v>
                </c:pt>
              </c:numCache>
            </c:numRef>
          </c:val>
          <c:extLst>
            <c:ext xmlns:c16="http://schemas.microsoft.com/office/drawing/2014/chart" uri="{C3380CC4-5D6E-409C-BE32-E72D297353CC}">
              <c16:uniqueId val="{00000000-A5E3-423C-92C0-DC5FD571240A}"/>
            </c:ext>
          </c:extLst>
        </c:ser>
        <c:dLbls>
          <c:showLegendKey val="0"/>
          <c:showVal val="0"/>
          <c:showCatName val="0"/>
          <c:showSerName val="0"/>
          <c:showPercent val="0"/>
          <c:showBubbleSize val="0"/>
        </c:dLbls>
        <c:gapWidth val="219"/>
        <c:overlap val="-27"/>
        <c:axId val="19610976"/>
        <c:axId val="19616736"/>
        <c:extLst>
          <c:ext xmlns:c15="http://schemas.microsoft.com/office/drawing/2012/chart" uri="{02D57815-91ED-43cb-92C2-25804820EDAC}">
            <c15:filteredBarSeries>
              <c15:ser>
                <c:idx val="1"/>
                <c:order val="1"/>
                <c:tx>
                  <c:strRef>
                    <c:extLst>
                      <c:ext uri="{02D57815-91ED-43cb-92C2-25804820EDAC}">
                        <c15:formulaRef>
                          <c15:sqref>Working_Analysis!$D$171</c15:sqref>
                        </c15:formulaRef>
                      </c:ext>
                    </c:extLst>
                    <c:strCache>
                      <c:ptCount val="1"/>
                      <c:pt idx="0">
                        <c:v>Overall  Average</c:v>
                      </c:pt>
                    </c:strCache>
                  </c:strRef>
                </c:tx>
                <c:spPr>
                  <a:solidFill>
                    <a:schemeClr val="accent2"/>
                  </a:solidFill>
                  <a:ln>
                    <a:noFill/>
                  </a:ln>
                  <a:effectLst/>
                </c:spPr>
                <c:invertIfNegative val="0"/>
                <c:cat>
                  <c:strRef>
                    <c:extLst>
                      <c:ext uri="{02D57815-91ED-43cb-92C2-25804820EDAC}">
                        <c15:formulaRef>
                          <c15:sqref>Working_Analysis!$B$172:$B$176</c15:sqref>
                        </c15:formulaRef>
                      </c:ext>
                    </c:extLst>
                    <c:strCache>
                      <c:ptCount val="5"/>
                      <c:pt idx="0">
                        <c:v>Accessories</c:v>
                      </c:pt>
                      <c:pt idx="1">
                        <c:v>Bottoms</c:v>
                      </c:pt>
                      <c:pt idx="2">
                        <c:v>Dresses</c:v>
                      </c:pt>
                      <c:pt idx="3">
                        <c:v>Outerwear</c:v>
                      </c:pt>
                      <c:pt idx="4">
                        <c:v>Tops</c:v>
                      </c:pt>
                    </c:strCache>
                  </c:strRef>
                </c:cat>
                <c:val>
                  <c:numRef>
                    <c:extLst>
                      <c:ext uri="{02D57815-91ED-43cb-92C2-25804820EDAC}">
                        <c15:formulaRef>
                          <c15:sqref>Working_Analysis!$D$172:$D$176</c15:sqref>
                        </c15:formulaRef>
                      </c:ext>
                    </c:extLst>
                    <c:numCache>
                      <c:formatCode>0.00%</c:formatCode>
                      <c:ptCount val="5"/>
                      <c:pt idx="0">
                        <c:v>0.54784538844240327</c:v>
                      </c:pt>
                      <c:pt idx="1">
                        <c:v>0.54784538844240327</c:v>
                      </c:pt>
                      <c:pt idx="2">
                        <c:v>0.54784538844240327</c:v>
                      </c:pt>
                      <c:pt idx="3">
                        <c:v>0.54784538844240327</c:v>
                      </c:pt>
                      <c:pt idx="4">
                        <c:v>0.54784538844240327</c:v>
                      </c:pt>
                    </c:numCache>
                  </c:numRef>
                </c:val>
                <c:extLst>
                  <c:ext xmlns:c16="http://schemas.microsoft.com/office/drawing/2014/chart" uri="{C3380CC4-5D6E-409C-BE32-E72D297353CC}">
                    <c16:uniqueId val="{00000001-A5E3-423C-92C0-DC5FD571240A}"/>
                  </c:ext>
                </c:extLst>
              </c15:ser>
            </c15:filteredBarSeries>
          </c:ext>
        </c:extLst>
      </c:barChart>
      <c:lineChart>
        <c:grouping val="standard"/>
        <c:varyColors val="0"/>
        <c:ser>
          <c:idx val="2"/>
          <c:order val="2"/>
          <c:tx>
            <c:strRef>
              <c:f>Working_Analysis!$D$171</c:f>
              <c:strCache>
                <c:ptCount val="1"/>
                <c:pt idx="0">
                  <c:v>Overall  Average</c:v>
                </c:pt>
              </c:strCache>
            </c:strRef>
          </c:tx>
          <c:spPr>
            <a:ln w="28575" cap="rnd">
              <a:solidFill>
                <a:schemeClr val="accent3"/>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6-A5E3-423C-92C0-DC5FD571240A}"/>
                </c:ext>
              </c:extLst>
            </c:dLbl>
            <c:dLbl>
              <c:idx val="1"/>
              <c:delete val="1"/>
              <c:extLst>
                <c:ext xmlns:c15="http://schemas.microsoft.com/office/drawing/2012/chart" uri="{CE6537A1-D6FC-4f65-9D91-7224C49458BB}"/>
                <c:ext xmlns:c16="http://schemas.microsoft.com/office/drawing/2014/chart" uri="{C3380CC4-5D6E-409C-BE32-E72D297353CC}">
                  <c16:uniqueId val="{00000005-A5E3-423C-92C0-DC5FD571240A}"/>
                </c:ext>
              </c:extLst>
            </c:dLbl>
            <c:dLbl>
              <c:idx val="2"/>
              <c:delete val="1"/>
              <c:extLst>
                <c:ext xmlns:c15="http://schemas.microsoft.com/office/drawing/2012/chart" uri="{CE6537A1-D6FC-4f65-9D91-7224C49458BB}"/>
                <c:ext xmlns:c16="http://schemas.microsoft.com/office/drawing/2014/chart" uri="{C3380CC4-5D6E-409C-BE32-E72D297353CC}">
                  <c16:uniqueId val="{00000004-A5E3-423C-92C0-DC5FD571240A}"/>
                </c:ext>
              </c:extLst>
            </c:dLbl>
            <c:dLbl>
              <c:idx val="3"/>
              <c:delete val="1"/>
              <c:extLst>
                <c:ext xmlns:c15="http://schemas.microsoft.com/office/drawing/2012/chart" uri="{CE6537A1-D6FC-4f65-9D91-7224C49458BB}"/>
                <c:ext xmlns:c16="http://schemas.microsoft.com/office/drawing/2014/chart" uri="{C3380CC4-5D6E-409C-BE32-E72D297353CC}">
                  <c16:uniqueId val="{00000003-A5E3-423C-92C0-DC5FD571240A}"/>
                </c:ext>
              </c:extLst>
            </c:dLbl>
            <c:dLbl>
              <c:idx val="4"/>
              <c:layout>
                <c:manualLayout>
                  <c:x val="-1.5541246710776926E-16"/>
                  <c:y val="-4.0585668181549834E-17"/>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CDDC3CD0-10C4-4821-B4F0-17D92BFE9C54}" type="SERIESNAME">
                      <a:rPr lang="en-US" b="1"/>
                      <a:pPr>
                        <a:defRPr b="1"/>
                      </a:pPr>
                      <a:t>[SERIES NAME]</a:t>
                    </a:fld>
                    <a:endParaRPr lang="en-US" b="1"/>
                  </a:p>
                  <a:p>
                    <a:pPr>
                      <a:defRPr b="1"/>
                    </a:pPr>
                    <a:r>
                      <a:rPr lang="en-US" b="1"/>
                      <a:t>54.78%</a:t>
                    </a:r>
                  </a:p>
                  <a:p>
                    <a:pPr>
                      <a:defRPr b="1"/>
                    </a:pPr>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9067297490599"/>
                      <c:h val="0.28189904772197594"/>
                    </c:manualLayout>
                  </c15:layout>
                  <c15:dlblFieldTable/>
                  <c15:showDataLabelsRange val="0"/>
                </c:ext>
                <c:ext xmlns:c16="http://schemas.microsoft.com/office/drawing/2014/chart" uri="{C3380CC4-5D6E-409C-BE32-E72D297353CC}">
                  <c16:uniqueId val="{00000007-A5E3-423C-92C0-DC5FD57124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Working_Analysis!$D$172:$D$176</c:f>
              <c:numCache>
                <c:formatCode>0.00%</c:formatCode>
                <c:ptCount val="5"/>
                <c:pt idx="0">
                  <c:v>0.54784538844240327</c:v>
                </c:pt>
                <c:pt idx="1">
                  <c:v>0.54784538844240327</c:v>
                </c:pt>
                <c:pt idx="2">
                  <c:v>0.54784538844240327</c:v>
                </c:pt>
                <c:pt idx="3">
                  <c:v>0.54784538844240327</c:v>
                </c:pt>
                <c:pt idx="4">
                  <c:v>0.54784538844240327</c:v>
                </c:pt>
              </c:numCache>
            </c:numRef>
          </c:val>
          <c:smooth val="0"/>
          <c:extLst>
            <c:ext xmlns:c16="http://schemas.microsoft.com/office/drawing/2014/chart" uri="{C3380CC4-5D6E-409C-BE32-E72D297353CC}">
              <c16:uniqueId val="{00000002-A5E3-423C-92C0-DC5FD571240A}"/>
            </c:ext>
          </c:extLst>
        </c:ser>
        <c:dLbls>
          <c:showLegendKey val="0"/>
          <c:showVal val="0"/>
          <c:showCatName val="0"/>
          <c:showSerName val="0"/>
          <c:showPercent val="0"/>
          <c:showBubbleSize val="0"/>
        </c:dLbls>
        <c:marker val="1"/>
        <c:smooth val="0"/>
        <c:axId val="19610976"/>
        <c:axId val="19616736"/>
      </c:lineChart>
      <c:catAx>
        <c:axId val="1961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736"/>
        <c:crosses val="autoZero"/>
        <c:auto val="1"/>
        <c:lblAlgn val="ctr"/>
        <c:lblOffset val="100"/>
        <c:noMultiLvlLbl val="0"/>
      </c:catAx>
      <c:valAx>
        <c:axId val="19616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[Urban_Threads_Q4_Returns_Analysis.xlsx]Working_Analysis!PivotTable23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Size Issue is the leading</a:t>
            </a:r>
            <a:r>
              <a:rPr lang="en-US" baseline="0"/>
              <a:t> reason for returns contributing 37.22%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Working_Analysis!$C$189</c:f>
              <c:strCache>
                <c:ptCount val="1"/>
                <c:pt idx="0">
                  <c:v>Total</c:v>
                </c:pt>
              </c:strCache>
            </c:strRef>
          </c:tx>
          <c:spPr>
            <a:solidFill>
              <a:schemeClr val="accent1"/>
            </a:solidFill>
            <a:ln>
              <a:noFill/>
            </a:ln>
            <a:effectLst/>
          </c:spPr>
          <c:invertIfNegative val="0"/>
          <c:cat>
            <c:strRef>
              <c:f>Working_Analysis!$B$190:$B$195</c:f>
              <c:strCache>
                <c:ptCount val="5"/>
                <c:pt idx="0">
                  <c:v>Size Issue</c:v>
                </c:pt>
                <c:pt idx="1">
                  <c:v>Quality Defect</c:v>
                </c:pt>
                <c:pt idx="2">
                  <c:v>Changed Mind</c:v>
                </c:pt>
                <c:pt idx="3">
                  <c:v>Wrong Item</c:v>
                </c:pt>
                <c:pt idx="4">
                  <c:v>Damaged in Transit</c:v>
                </c:pt>
              </c:strCache>
            </c:strRef>
          </c:cat>
          <c:val>
            <c:numRef>
              <c:f>Working_Analysis!$C$190:$C$195</c:f>
              <c:numCache>
                <c:formatCode>0.00%</c:formatCode>
                <c:ptCount val="5"/>
                <c:pt idx="0">
                  <c:v>0.37222222222222223</c:v>
                </c:pt>
                <c:pt idx="1">
                  <c:v>0.17777777777777778</c:v>
                </c:pt>
                <c:pt idx="2">
                  <c:v>0.16111111111111112</c:v>
                </c:pt>
                <c:pt idx="3">
                  <c:v>0.15555555555555556</c:v>
                </c:pt>
                <c:pt idx="4">
                  <c:v>0.13333333333333333</c:v>
                </c:pt>
              </c:numCache>
            </c:numRef>
          </c:val>
          <c:extLst>
            <c:ext xmlns:c16="http://schemas.microsoft.com/office/drawing/2014/chart" uri="{C3380CC4-5D6E-409C-BE32-E72D297353CC}">
              <c16:uniqueId val="{00000002-D3A1-4C36-9532-D3DE7EDCE385}"/>
            </c:ext>
          </c:extLst>
        </c:ser>
        <c:dLbls>
          <c:showLegendKey val="0"/>
          <c:showVal val="0"/>
          <c:showCatName val="0"/>
          <c:showSerName val="0"/>
          <c:showPercent val="0"/>
          <c:showBubbleSize val="0"/>
        </c:dLbls>
        <c:gapWidth val="182"/>
        <c:axId val="538175119"/>
        <c:axId val="538170799"/>
      </c:barChart>
      <c:catAx>
        <c:axId val="538175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70799"/>
        <c:crosses val="autoZero"/>
        <c:auto val="1"/>
        <c:lblAlgn val="ctr"/>
        <c:lblOffset val="100"/>
        <c:noMultiLvlLbl val="0"/>
      </c:catAx>
      <c:valAx>
        <c:axId val="538170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t>
                </a:r>
                <a:r>
                  <a:rPr lang="en-IN" b="1" baseline="0"/>
                  <a:t> of Total Returns</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7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COD Orders Drive Significantly Higher Returns and RTOs Compared to Prepaid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Working_Analysis!$G$227</c:f>
              <c:strCache>
                <c:ptCount val="1"/>
                <c:pt idx="0">
                  <c:v>Return Rate</c:v>
                </c:pt>
              </c:strCache>
            </c:strRef>
          </c:tx>
          <c:spPr>
            <a:solidFill>
              <a:schemeClr val="accent1"/>
            </a:solidFill>
            <a:ln>
              <a:noFill/>
            </a:ln>
            <a:effectLst/>
          </c:spPr>
          <c:invertIfNegative val="0"/>
          <c:cat>
            <c:strRef>
              <c:f>Working_Analysis!$F$228:$F$229</c:f>
              <c:strCache>
                <c:ptCount val="2"/>
                <c:pt idx="0">
                  <c:v>COD</c:v>
                </c:pt>
                <c:pt idx="1">
                  <c:v>Prepaid</c:v>
                </c:pt>
              </c:strCache>
            </c:strRef>
          </c:cat>
          <c:val>
            <c:numRef>
              <c:f>Working_Analysis!$G$228:$G$229</c:f>
              <c:numCache>
                <c:formatCode>0.00%</c:formatCode>
                <c:ptCount val="2"/>
                <c:pt idx="0">
                  <c:v>0.82608695652173914</c:v>
                </c:pt>
                <c:pt idx="1">
                  <c:v>0.50354609929078009</c:v>
                </c:pt>
              </c:numCache>
            </c:numRef>
          </c:val>
          <c:extLst>
            <c:ext xmlns:c16="http://schemas.microsoft.com/office/drawing/2014/chart" uri="{C3380CC4-5D6E-409C-BE32-E72D297353CC}">
              <c16:uniqueId val="{00000000-E1A3-4441-8EBE-EC4F94D4A793}"/>
            </c:ext>
          </c:extLst>
        </c:ser>
        <c:ser>
          <c:idx val="1"/>
          <c:order val="1"/>
          <c:tx>
            <c:strRef>
              <c:f>Working_Analysis!$H$227</c:f>
              <c:strCache>
                <c:ptCount val="1"/>
                <c:pt idx="0">
                  <c:v>RTO Rate'</c:v>
                </c:pt>
              </c:strCache>
            </c:strRef>
          </c:tx>
          <c:spPr>
            <a:solidFill>
              <a:schemeClr val="accent1">
                <a:lumMod val="60000"/>
                <a:lumOff val="40000"/>
              </a:schemeClr>
            </a:solidFill>
            <a:ln>
              <a:noFill/>
            </a:ln>
            <a:effectLst/>
          </c:spPr>
          <c:invertIfNegative val="0"/>
          <c:cat>
            <c:strRef>
              <c:f>Working_Analysis!$F$228:$F$229</c:f>
              <c:strCache>
                <c:ptCount val="2"/>
                <c:pt idx="0">
                  <c:v>COD</c:v>
                </c:pt>
                <c:pt idx="1">
                  <c:v>Prepaid</c:v>
                </c:pt>
              </c:strCache>
            </c:strRef>
          </c:cat>
          <c:val>
            <c:numRef>
              <c:f>Working_Analysis!$H$228:$H$229</c:f>
              <c:numCache>
                <c:formatCode>0.00%</c:formatCode>
                <c:ptCount val="2"/>
                <c:pt idx="0">
                  <c:v>0.25806451612903225</c:v>
                </c:pt>
                <c:pt idx="1">
                  <c:v>3.5335689045936395E-3</c:v>
                </c:pt>
              </c:numCache>
            </c:numRef>
          </c:val>
          <c:extLst>
            <c:ext xmlns:c16="http://schemas.microsoft.com/office/drawing/2014/chart" uri="{C3380CC4-5D6E-409C-BE32-E72D297353CC}">
              <c16:uniqueId val="{00000001-E1A3-4441-8EBE-EC4F94D4A793}"/>
            </c:ext>
          </c:extLst>
        </c:ser>
        <c:dLbls>
          <c:showLegendKey val="0"/>
          <c:showVal val="0"/>
          <c:showCatName val="0"/>
          <c:showSerName val="0"/>
          <c:showPercent val="0"/>
          <c:showBubbleSize val="0"/>
        </c:dLbls>
        <c:gapWidth val="219"/>
        <c:overlap val="-27"/>
        <c:axId val="220339648"/>
        <c:axId val="220337728"/>
      </c:barChart>
      <c:catAx>
        <c:axId val="22033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37728"/>
        <c:crosses val="autoZero"/>
        <c:auto val="1"/>
        <c:lblAlgn val="ctr"/>
        <c:lblOffset val="100"/>
        <c:noMultiLvlLbl val="0"/>
      </c:catAx>
      <c:valAx>
        <c:axId val="220337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39648"/>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New Customers from Instagram Shop Have the Highest Return Rates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Working_Analysis!$I$213</c:f>
              <c:strCache>
                <c:ptCount val="1"/>
                <c:pt idx="0">
                  <c:v>New (%)</c:v>
                </c:pt>
              </c:strCache>
            </c:strRef>
          </c:tx>
          <c:spPr>
            <a:solidFill>
              <a:srgbClr val="2F6F73"/>
            </a:solidFill>
            <a:ln>
              <a:noFill/>
            </a:ln>
            <a:effectLst/>
          </c:spPr>
          <c:invertIfNegative val="0"/>
          <c:cat>
            <c:strRef>
              <c:f>Working_Analysis!$H$214:$H$216</c:f>
              <c:strCache>
                <c:ptCount val="3"/>
                <c:pt idx="0">
                  <c:v>Instagram Shop</c:v>
                </c:pt>
                <c:pt idx="1">
                  <c:v>Mobile App</c:v>
                </c:pt>
                <c:pt idx="2">
                  <c:v>Website</c:v>
                </c:pt>
              </c:strCache>
            </c:strRef>
          </c:cat>
          <c:val>
            <c:numRef>
              <c:f>Working_Analysis!$I$214:$I$216</c:f>
              <c:numCache>
                <c:formatCode>0.00%</c:formatCode>
                <c:ptCount val="3"/>
                <c:pt idx="0">
                  <c:v>0.74119999999999997</c:v>
                </c:pt>
                <c:pt idx="1">
                  <c:v>0.56789999999999996</c:v>
                </c:pt>
                <c:pt idx="2">
                  <c:v>0.43680000000000002</c:v>
                </c:pt>
              </c:numCache>
            </c:numRef>
          </c:val>
          <c:extLst>
            <c:ext xmlns:c16="http://schemas.microsoft.com/office/drawing/2014/chart" uri="{C3380CC4-5D6E-409C-BE32-E72D297353CC}">
              <c16:uniqueId val="{00000000-EBF1-4BEE-A84D-2ABC6A2D4BE8}"/>
            </c:ext>
          </c:extLst>
        </c:ser>
        <c:ser>
          <c:idx val="1"/>
          <c:order val="1"/>
          <c:tx>
            <c:strRef>
              <c:f>Working_Analysis!$J$213</c:f>
              <c:strCache>
                <c:ptCount val="1"/>
                <c:pt idx="0">
                  <c:v>Returning (%)</c:v>
                </c:pt>
              </c:strCache>
            </c:strRef>
          </c:tx>
          <c:spPr>
            <a:solidFill>
              <a:srgbClr val="7A9CC6"/>
            </a:solidFill>
            <a:ln>
              <a:noFill/>
            </a:ln>
            <a:effectLst/>
          </c:spPr>
          <c:invertIfNegative val="0"/>
          <c:cat>
            <c:strRef>
              <c:f>Working_Analysis!$H$214:$H$216</c:f>
              <c:strCache>
                <c:ptCount val="3"/>
                <c:pt idx="0">
                  <c:v>Instagram Shop</c:v>
                </c:pt>
                <c:pt idx="1">
                  <c:v>Mobile App</c:v>
                </c:pt>
                <c:pt idx="2">
                  <c:v>Website</c:v>
                </c:pt>
              </c:strCache>
            </c:strRef>
          </c:cat>
          <c:val>
            <c:numRef>
              <c:f>Working_Analysis!$J$214:$J$216</c:f>
              <c:numCache>
                <c:formatCode>0.00%</c:formatCode>
                <c:ptCount val="3"/>
                <c:pt idx="0">
                  <c:v>0.4</c:v>
                </c:pt>
                <c:pt idx="1">
                  <c:v>0.55559999999999998</c:v>
                </c:pt>
                <c:pt idx="2">
                  <c:v>0.35709999999999997</c:v>
                </c:pt>
              </c:numCache>
            </c:numRef>
          </c:val>
          <c:extLst>
            <c:ext xmlns:c16="http://schemas.microsoft.com/office/drawing/2014/chart" uri="{C3380CC4-5D6E-409C-BE32-E72D297353CC}">
              <c16:uniqueId val="{00000001-EBF1-4BEE-A84D-2ABC6A2D4BE8}"/>
            </c:ext>
          </c:extLst>
        </c:ser>
        <c:dLbls>
          <c:showLegendKey val="0"/>
          <c:showVal val="0"/>
          <c:showCatName val="0"/>
          <c:showSerName val="0"/>
          <c:showPercent val="0"/>
          <c:showBubbleSize val="0"/>
        </c:dLbls>
        <c:gapWidth val="219"/>
        <c:overlap val="-27"/>
        <c:axId val="174208272"/>
        <c:axId val="174203472"/>
      </c:barChart>
      <c:catAx>
        <c:axId val="17420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3472"/>
        <c:crosses val="autoZero"/>
        <c:auto val="1"/>
        <c:lblAlgn val="ctr"/>
        <c:lblOffset val="100"/>
        <c:noMultiLvlLbl val="0"/>
      </c:catAx>
      <c:valAx>
        <c:axId val="174203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[Urban_Threads_Q4_Returns_Analysis.xlsx]Working_Analysis!PivotTable23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Size Issue is the leading</a:t>
            </a:r>
            <a:r>
              <a:rPr lang="en-US" baseline="0"/>
              <a:t> reason for returns contributing 37.22%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F6F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Working_Analysis!$C$189</c:f>
              <c:strCache>
                <c:ptCount val="1"/>
                <c:pt idx="0">
                  <c:v>Total</c:v>
                </c:pt>
              </c:strCache>
            </c:strRef>
          </c:tx>
          <c:spPr>
            <a:solidFill>
              <a:srgbClr val="2F6F73"/>
            </a:solidFill>
            <a:ln>
              <a:noFill/>
            </a:ln>
            <a:effectLst/>
          </c:spPr>
          <c:invertIfNegative val="0"/>
          <c:cat>
            <c:strRef>
              <c:f>Working_Analysis!$B$190:$B$195</c:f>
              <c:strCache>
                <c:ptCount val="5"/>
                <c:pt idx="0">
                  <c:v>Size Issue</c:v>
                </c:pt>
                <c:pt idx="1">
                  <c:v>Quality Defect</c:v>
                </c:pt>
                <c:pt idx="2">
                  <c:v>Changed Mind</c:v>
                </c:pt>
                <c:pt idx="3">
                  <c:v>Wrong Item</c:v>
                </c:pt>
                <c:pt idx="4">
                  <c:v>Damaged in Transit</c:v>
                </c:pt>
              </c:strCache>
            </c:strRef>
          </c:cat>
          <c:val>
            <c:numRef>
              <c:f>Working_Analysis!$C$190:$C$195</c:f>
              <c:numCache>
                <c:formatCode>0.00%</c:formatCode>
                <c:ptCount val="5"/>
                <c:pt idx="0">
                  <c:v>0.37222222222222223</c:v>
                </c:pt>
                <c:pt idx="1">
                  <c:v>0.17777777777777778</c:v>
                </c:pt>
                <c:pt idx="2">
                  <c:v>0.16111111111111112</c:v>
                </c:pt>
                <c:pt idx="3">
                  <c:v>0.15555555555555556</c:v>
                </c:pt>
                <c:pt idx="4">
                  <c:v>0.13333333333333333</c:v>
                </c:pt>
              </c:numCache>
            </c:numRef>
          </c:val>
          <c:extLst>
            <c:ext xmlns:c16="http://schemas.microsoft.com/office/drawing/2014/chart" uri="{C3380CC4-5D6E-409C-BE32-E72D297353CC}">
              <c16:uniqueId val="{00000000-7E33-4A75-9E09-43388C0E607A}"/>
            </c:ext>
          </c:extLst>
        </c:ser>
        <c:dLbls>
          <c:showLegendKey val="0"/>
          <c:showVal val="0"/>
          <c:showCatName val="0"/>
          <c:showSerName val="0"/>
          <c:showPercent val="0"/>
          <c:showBubbleSize val="0"/>
        </c:dLbls>
        <c:gapWidth val="182"/>
        <c:axId val="538175119"/>
        <c:axId val="538170799"/>
      </c:barChart>
      <c:catAx>
        <c:axId val="538175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70799"/>
        <c:crosses val="autoZero"/>
        <c:auto val="1"/>
        <c:lblAlgn val="ctr"/>
        <c:lblOffset val="100"/>
        <c:noMultiLvlLbl val="0"/>
      </c:catAx>
      <c:valAx>
        <c:axId val="538170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0"/>
                  <a:t>%</a:t>
                </a:r>
                <a:r>
                  <a:rPr lang="en-IN" b="0" baseline="0"/>
                  <a:t> of Total Returns</a:t>
                </a:r>
                <a:endParaRPr lang="en-IN" b="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7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Delivered Orders v/s</a:t>
            </a:r>
            <a:r>
              <a:rPr lang="en-IN" baseline="0"/>
              <a:t> Weekly Return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Working_Analysis!$C$153</c:f>
              <c:strCache>
                <c:ptCount val="1"/>
                <c:pt idx="0">
                  <c:v>Delivered Orders</c:v>
                </c:pt>
              </c:strCache>
            </c:strRef>
          </c:tx>
          <c:spPr>
            <a:solidFill>
              <a:srgbClr val="2F6F73"/>
            </a:solidFill>
            <a:ln>
              <a:solidFill>
                <a:srgbClr val="2F6F73">
                  <a:alpha val="98824"/>
                </a:srgbClr>
              </a:solidFill>
            </a:ln>
            <a:effectLst/>
          </c:spPr>
          <c:invertIfNegative val="0"/>
          <c:cat>
            <c:strRef>
              <c:f>Working_Analysis!$B$154:$B$167</c:f>
              <c:strCache>
                <c:ptCount val="14"/>
                <c:pt idx="0">
                  <c:v>2024-W40</c:v>
                </c:pt>
                <c:pt idx="1">
                  <c:v>2024-W41</c:v>
                </c:pt>
                <c:pt idx="2">
                  <c:v>2024-W42</c:v>
                </c:pt>
                <c:pt idx="3">
                  <c:v>2024-W43</c:v>
                </c:pt>
                <c:pt idx="4">
                  <c:v>2024-W44</c:v>
                </c:pt>
                <c:pt idx="5">
                  <c:v>2024-W45</c:v>
                </c:pt>
                <c:pt idx="6">
                  <c:v>2024-W46</c:v>
                </c:pt>
                <c:pt idx="7">
                  <c:v>2024-W47</c:v>
                </c:pt>
                <c:pt idx="8">
                  <c:v>2024-W48</c:v>
                </c:pt>
                <c:pt idx="9">
                  <c:v>2024-W49</c:v>
                </c:pt>
                <c:pt idx="10">
                  <c:v>2024-W50</c:v>
                </c:pt>
                <c:pt idx="11">
                  <c:v>2024-W51</c:v>
                </c:pt>
                <c:pt idx="12">
                  <c:v>2024-W52</c:v>
                </c:pt>
                <c:pt idx="13">
                  <c:v>2024-W53</c:v>
                </c:pt>
              </c:strCache>
            </c:strRef>
          </c:cat>
          <c:val>
            <c:numRef>
              <c:f>Working_Analysis!$C$154:$C$167</c:f>
              <c:numCache>
                <c:formatCode>General</c:formatCode>
                <c:ptCount val="14"/>
                <c:pt idx="0">
                  <c:v>23</c:v>
                </c:pt>
                <c:pt idx="1">
                  <c:v>27</c:v>
                </c:pt>
                <c:pt idx="2">
                  <c:v>26</c:v>
                </c:pt>
                <c:pt idx="3">
                  <c:v>24</c:v>
                </c:pt>
                <c:pt idx="4">
                  <c:v>31</c:v>
                </c:pt>
                <c:pt idx="5">
                  <c:v>20</c:v>
                </c:pt>
                <c:pt idx="6">
                  <c:v>20</c:v>
                </c:pt>
                <c:pt idx="7">
                  <c:v>20</c:v>
                </c:pt>
                <c:pt idx="8">
                  <c:v>21</c:v>
                </c:pt>
                <c:pt idx="9">
                  <c:v>27</c:v>
                </c:pt>
                <c:pt idx="10">
                  <c:v>27</c:v>
                </c:pt>
                <c:pt idx="11">
                  <c:v>28</c:v>
                </c:pt>
                <c:pt idx="12">
                  <c:v>28</c:v>
                </c:pt>
                <c:pt idx="13">
                  <c:v>5</c:v>
                </c:pt>
              </c:numCache>
            </c:numRef>
          </c:val>
          <c:extLst>
            <c:ext xmlns:c16="http://schemas.microsoft.com/office/drawing/2014/chart" uri="{C3380CC4-5D6E-409C-BE32-E72D297353CC}">
              <c16:uniqueId val="{00000001-7B9D-4C5E-BA88-233F2E5D535B}"/>
            </c:ext>
          </c:extLst>
        </c:ser>
        <c:dLbls>
          <c:showLegendKey val="0"/>
          <c:showVal val="0"/>
          <c:showCatName val="0"/>
          <c:showSerName val="0"/>
          <c:showPercent val="0"/>
          <c:showBubbleSize val="0"/>
        </c:dLbls>
        <c:gapWidth val="150"/>
        <c:axId val="121304640"/>
        <c:axId val="121310880"/>
      </c:barChart>
      <c:lineChart>
        <c:grouping val="standard"/>
        <c:varyColors val="0"/>
        <c:ser>
          <c:idx val="2"/>
          <c:order val="1"/>
          <c:tx>
            <c:strRef>
              <c:f>Working_Analysis!$E$153</c:f>
              <c:strCache>
                <c:ptCount val="1"/>
                <c:pt idx="0">
                  <c:v>Return Rate</c:v>
                </c:pt>
              </c:strCache>
            </c:strRef>
          </c:tx>
          <c:spPr>
            <a:ln w="28575" cap="rnd">
              <a:solidFill>
                <a:srgbClr val="7A9CC6"/>
              </a:solidFill>
              <a:round/>
            </a:ln>
            <a:effectLst/>
          </c:spPr>
          <c:marker>
            <c:symbol val="none"/>
          </c:marker>
          <c:cat>
            <c:strRef>
              <c:f>Working_Analysis!$B$154:$B$167</c:f>
              <c:strCache>
                <c:ptCount val="14"/>
                <c:pt idx="0">
                  <c:v>2024-W40</c:v>
                </c:pt>
                <c:pt idx="1">
                  <c:v>2024-W41</c:v>
                </c:pt>
                <c:pt idx="2">
                  <c:v>2024-W42</c:v>
                </c:pt>
                <c:pt idx="3">
                  <c:v>2024-W43</c:v>
                </c:pt>
                <c:pt idx="4">
                  <c:v>2024-W44</c:v>
                </c:pt>
                <c:pt idx="5">
                  <c:v>2024-W45</c:v>
                </c:pt>
                <c:pt idx="6">
                  <c:v>2024-W46</c:v>
                </c:pt>
                <c:pt idx="7">
                  <c:v>2024-W47</c:v>
                </c:pt>
                <c:pt idx="8">
                  <c:v>2024-W48</c:v>
                </c:pt>
                <c:pt idx="9">
                  <c:v>2024-W49</c:v>
                </c:pt>
                <c:pt idx="10">
                  <c:v>2024-W50</c:v>
                </c:pt>
                <c:pt idx="11">
                  <c:v>2024-W51</c:v>
                </c:pt>
                <c:pt idx="12">
                  <c:v>2024-W52</c:v>
                </c:pt>
                <c:pt idx="13">
                  <c:v>2024-W53</c:v>
                </c:pt>
              </c:strCache>
            </c:strRef>
          </c:cat>
          <c:val>
            <c:numRef>
              <c:f>Working_Analysis!$E$154:$E$167</c:f>
              <c:numCache>
                <c:formatCode>0.00%</c:formatCode>
                <c:ptCount val="14"/>
                <c:pt idx="0">
                  <c:v>0.47826086956521741</c:v>
                </c:pt>
                <c:pt idx="1">
                  <c:v>0.40740740740740738</c:v>
                </c:pt>
                <c:pt idx="2">
                  <c:v>0.5</c:v>
                </c:pt>
                <c:pt idx="3">
                  <c:v>0.41666666666666669</c:v>
                </c:pt>
                <c:pt idx="4">
                  <c:v>0.77419354838709675</c:v>
                </c:pt>
                <c:pt idx="5">
                  <c:v>0.55000000000000004</c:v>
                </c:pt>
                <c:pt idx="6">
                  <c:v>0.6</c:v>
                </c:pt>
                <c:pt idx="7">
                  <c:v>0.55000000000000004</c:v>
                </c:pt>
                <c:pt idx="8">
                  <c:v>0.61904761904761907</c:v>
                </c:pt>
                <c:pt idx="9">
                  <c:v>0.40740740740740738</c:v>
                </c:pt>
                <c:pt idx="10">
                  <c:v>0.59259259259259256</c:v>
                </c:pt>
                <c:pt idx="11">
                  <c:v>0.6071428571428571</c:v>
                </c:pt>
                <c:pt idx="12">
                  <c:v>0.6071428571428571</c:v>
                </c:pt>
                <c:pt idx="13">
                  <c:v>0.6</c:v>
                </c:pt>
              </c:numCache>
            </c:numRef>
          </c:val>
          <c:smooth val="0"/>
          <c:extLst>
            <c:ext xmlns:c16="http://schemas.microsoft.com/office/drawing/2014/chart" uri="{C3380CC4-5D6E-409C-BE32-E72D297353CC}">
              <c16:uniqueId val="{00000000-7B9D-4C5E-BA88-233F2E5D535B}"/>
            </c:ext>
          </c:extLst>
        </c:ser>
        <c:dLbls>
          <c:showLegendKey val="0"/>
          <c:showVal val="0"/>
          <c:showCatName val="0"/>
          <c:showSerName val="0"/>
          <c:showPercent val="0"/>
          <c:showBubbleSize val="0"/>
        </c:dLbls>
        <c:marker val="1"/>
        <c:smooth val="0"/>
        <c:axId val="171312320"/>
        <c:axId val="171309440"/>
      </c:lineChart>
      <c:catAx>
        <c:axId val="1213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0880"/>
        <c:crosses val="autoZero"/>
        <c:auto val="1"/>
        <c:lblAlgn val="ctr"/>
        <c:lblOffset val="100"/>
        <c:noMultiLvlLbl val="0"/>
      </c:catAx>
      <c:valAx>
        <c:axId val="12131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Delivered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04640"/>
        <c:crosses val="autoZero"/>
        <c:crossBetween val="between"/>
      </c:valAx>
      <c:valAx>
        <c:axId val="1713094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Return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2320"/>
        <c:crosses val="max"/>
        <c:crossBetween val="between"/>
      </c:valAx>
      <c:catAx>
        <c:axId val="171312320"/>
        <c:scaling>
          <c:orientation val="minMax"/>
        </c:scaling>
        <c:delete val="1"/>
        <c:axPos val="b"/>
        <c:numFmt formatCode="General" sourceLinked="1"/>
        <c:majorTickMark val="out"/>
        <c:minorTickMark val="none"/>
        <c:tickLblPos val="nextTo"/>
        <c:crossAx val="17130944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COD Orders Drive Significantly Higher Returns and RTOs Compared to Prepaid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Working_Analysis!$G$227</c:f>
              <c:strCache>
                <c:ptCount val="1"/>
                <c:pt idx="0">
                  <c:v>Return Rate</c:v>
                </c:pt>
              </c:strCache>
            </c:strRef>
          </c:tx>
          <c:spPr>
            <a:solidFill>
              <a:srgbClr val="2F6F73"/>
            </a:solidFill>
            <a:ln>
              <a:noFill/>
            </a:ln>
            <a:effectLst/>
          </c:spPr>
          <c:invertIfNegative val="0"/>
          <c:cat>
            <c:strRef>
              <c:f>Working_Analysis!$F$228:$F$229</c:f>
              <c:strCache>
                <c:ptCount val="2"/>
                <c:pt idx="0">
                  <c:v>COD</c:v>
                </c:pt>
                <c:pt idx="1">
                  <c:v>Prepaid</c:v>
                </c:pt>
              </c:strCache>
            </c:strRef>
          </c:cat>
          <c:val>
            <c:numRef>
              <c:f>Working_Analysis!$G$228:$G$229</c:f>
              <c:numCache>
                <c:formatCode>0.00%</c:formatCode>
                <c:ptCount val="2"/>
                <c:pt idx="0">
                  <c:v>0.82608695652173914</c:v>
                </c:pt>
                <c:pt idx="1">
                  <c:v>0.50354609929078009</c:v>
                </c:pt>
              </c:numCache>
            </c:numRef>
          </c:val>
          <c:extLst>
            <c:ext xmlns:c16="http://schemas.microsoft.com/office/drawing/2014/chart" uri="{C3380CC4-5D6E-409C-BE32-E72D297353CC}">
              <c16:uniqueId val="{00000000-83DC-42FC-95C1-C6C3479D7182}"/>
            </c:ext>
          </c:extLst>
        </c:ser>
        <c:ser>
          <c:idx val="1"/>
          <c:order val="1"/>
          <c:tx>
            <c:strRef>
              <c:f>Working_Analysis!$H$227</c:f>
              <c:strCache>
                <c:ptCount val="1"/>
                <c:pt idx="0">
                  <c:v>RTO Rate'</c:v>
                </c:pt>
              </c:strCache>
            </c:strRef>
          </c:tx>
          <c:spPr>
            <a:solidFill>
              <a:srgbClr val="7A9CC6"/>
            </a:solidFill>
            <a:ln>
              <a:noFill/>
            </a:ln>
            <a:effectLst/>
          </c:spPr>
          <c:invertIfNegative val="0"/>
          <c:cat>
            <c:strRef>
              <c:f>Working_Analysis!$F$228:$F$229</c:f>
              <c:strCache>
                <c:ptCount val="2"/>
                <c:pt idx="0">
                  <c:v>COD</c:v>
                </c:pt>
                <c:pt idx="1">
                  <c:v>Prepaid</c:v>
                </c:pt>
              </c:strCache>
            </c:strRef>
          </c:cat>
          <c:val>
            <c:numRef>
              <c:f>Working_Analysis!$H$228:$H$229</c:f>
              <c:numCache>
                <c:formatCode>0.00%</c:formatCode>
                <c:ptCount val="2"/>
                <c:pt idx="0">
                  <c:v>0.25806451612903225</c:v>
                </c:pt>
                <c:pt idx="1">
                  <c:v>3.5335689045936395E-3</c:v>
                </c:pt>
              </c:numCache>
            </c:numRef>
          </c:val>
          <c:extLst>
            <c:ext xmlns:c16="http://schemas.microsoft.com/office/drawing/2014/chart" uri="{C3380CC4-5D6E-409C-BE32-E72D297353CC}">
              <c16:uniqueId val="{00000001-83DC-42FC-95C1-C6C3479D7182}"/>
            </c:ext>
          </c:extLst>
        </c:ser>
        <c:dLbls>
          <c:showLegendKey val="0"/>
          <c:showVal val="0"/>
          <c:showCatName val="0"/>
          <c:showSerName val="0"/>
          <c:showPercent val="0"/>
          <c:showBubbleSize val="0"/>
        </c:dLbls>
        <c:gapWidth val="219"/>
        <c:overlap val="-27"/>
        <c:axId val="220339648"/>
        <c:axId val="220337728"/>
      </c:barChart>
      <c:catAx>
        <c:axId val="22033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37728"/>
        <c:crosses val="autoZero"/>
        <c:auto val="1"/>
        <c:lblAlgn val="ctr"/>
        <c:lblOffset val="100"/>
        <c:noMultiLvlLbl val="0"/>
      </c:catAx>
      <c:valAx>
        <c:axId val="220337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39648"/>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Outerwear and Dresses Exhibit the Highest Return Rates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Working_Analysis!$C$171</c:f>
              <c:strCache>
                <c:ptCount val="1"/>
                <c:pt idx="0">
                  <c:v>Return Rate</c:v>
                </c:pt>
              </c:strCache>
            </c:strRef>
          </c:tx>
          <c:spPr>
            <a:solidFill>
              <a:srgbClr val="2F6F73"/>
            </a:solidFill>
            <a:ln>
              <a:noFill/>
            </a:ln>
            <a:effectLst/>
          </c:spPr>
          <c:invertIfNegative val="0"/>
          <c:cat>
            <c:strRef>
              <c:f>Working_Analysis!$B$172:$B$176</c:f>
              <c:strCache>
                <c:ptCount val="5"/>
                <c:pt idx="0">
                  <c:v>Accessories</c:v>
                </c:pt>
                <c:pt idx="1">
                  <c:v>Bottoms</c:v>
                </c:pt>
                <c:pt idx="2">
                  <c:v>Dresses</c:v>
                </c:pt>
                <c:pt idx="3">
                  <c:v>Outerwear</c:v>
                </c:pt>
                <c:pt idx="4">
                  <c:v>Tops</c:v>
                </c:pt>
              </c:strCache>
            </c:strRef>
          </c:cat>
          <c:val>
            <c:numRef>
              <c:f>Working_Analysis!$C$172:$C$176</c:f>
              <c:numCache>
                <c:formatCode>0.00%</c:formatCode>
                <c:ptCount val="5"/>
                <c:pt idx="0">
                  <c:v>0.24615384615384617</c:v>
                </c:pt>
                <c:pt idx="1">
                  <c:v>0.38461538461538464</c:v>
                </c:pt>
                <c:pt idx="2">
                  <c:v>0.66666666666666663</c:v>
                </c:pt>
                <c:pt idx="3">
                  <c:v>0.8</c:v>
                </c:pt>
                <c:pt idx="4">
                  <c:v>0.64179104477611937</c:v>
                </c:pt>
              </c:numCache>
            </c:numRef>
          </c:val>
          <c:extLst>
            <c:ext xmlns:c16="http://schemas.microsoft.com/office/drawing/2014/chart" uri="{C3380CC4-5D6E-409C-BE32-E72D297353CC}">
              <c16:uniqueId val="{00000000-7C5D-4718-874B-31A852CAF5F0}"/>
            </c:ext>
          </c:extLst>
        </c:ser>
        <c:dLbls>
          <c:showLegendKey val="0"/>
          <c:showVal val="0"/>
          <c:showCatName val="0"/>
          <c:showSerName val="0"/>
          <c:showPercent val="0"/>
          <c:showBubbleSize val="0"/>
        </c:dLbls>
        <c:gapWidth val="219"/>
        <c:overlap val="-27"/>
        <c:axId val="19610976"/>
        <c:axId val="19616736"/>
        <c:extLst>
          <c:ext xmlns:c15="http://schemas.microsoft.com/office/drawing/2012/chart" uri="{02D57815-91ED-43cb-92C2-25804820EDAC}">
            <c15:filteredBarSeries>
              <c15:ser>
                <c:idx val="1"/>
                <c:order val="1"/>
                <c:tx>
                  <c:strRef>
                    <c:extLst>
                      <c:ext uri="{02D57815-91ED-43cb-92C2-25804820EDAC}">
                        <c15:formulaRef>
                          <c15:sqref>Working_Analysis!$D$171</c15:sqref>
                        </c15:formulaRef>
                      </c:ext>
                    </c:extLst>
                    <c:strCache>
                      <c:ptCount val="1"/>
                      <c:pt idx="0">
                        <c:v>Overall  Average</c:v>
                      </c:pt>
                    </c:strCache>
                  </c:strRef>
                </c:tx>
                <c:spPr>
                  <a:solidFill>
                    <a:schemeClr val="accent2"/>
                  </a:solidFill>
                  <a:ln>
                    <a:noFill/>
                  </a:ln>
                  <a:effectLst/>
                </c:spPr>
                <c:invertIfNegative val="0"/>
                <c:cat>
                  <c:strRef>
                    <c:extLst>
                      <c:ext uri="{02D57815-91ED-43cb-92C2-25804820EDAC}">
                        <c15:formulaRef>
                          <c15:sqref>Working_Analysis!$B$172:$B$176</c15:sqref>
                        </c15:formulaRef>
                      </c:ext>
                    </c:extLst>
                    <c:strCache>
                      <c:ptCount val="5"/>
                      <c:pt idx="0">
                        <c:v>Accessories</c:v>
                      </c:pt>
                      <c:pt idx="1">
                        <c:v>Bottoms</c:v>
                      </c:pt>
                      <c:pt idx="2">
                        <c:v>Dresses</c:v>
                      </c:pt>
                      <c:pt idx="3">
                        <c:v>Outerwear</c:v>
                      </c:pt>
                      <c:pt idx="4">
                        <c:v>Tops</c:v>
                      </c:pt>
                    </c:strCache>
                  </c:strRef>
                </c:cat>
                <c:val>
                  <c:numRef>
                    <c:extLst>
                      <c:ext uri="{02D57815-91ED-43cb-92C2-25804820EDAC}">
                        <c15:formulaRef>
                          <c15:sqref>Working_Analysis!$D$172:$D$176</c15:sqref>
                        </c15:formulaRef>
                      </c:ext>
                    </c:extLst>
                    <c:numCache>
                      <c:formatCode>0.00%</c:formatCode>
                      <c:ptCount val="5"/>
                      <c:pt idx="0">
                        <c:v>0.54784538844240327</c:v>
                      </c:pt>
                      <c:pt idx="1">
                        <c:v>0.54784538844240327</c:v>
                      </c:pt>
                      <c:pt idx="2">
                        <c:v>0.54784538844240327</c:v>
                      </c:pt>
                      <c:pt idx="3">
                        <c:v>0.54784538844240327</c:v>
                      </c:pt>
                      <c:pt idx="4">
                        <c:v>0.54784538844240327</c:v>
                      </c:pt>
                    </c:numCache>
                  </c:numRef>
                </c:val>
                <c:extLst>
                  <c:ext xmlns:c16="http://schemas.microsoft.com/office/drawing/2014/chart" uri="{C3380CC4-5D6E-409C-BE32-E72D297353CC}">
                    <c16:uniqueId val="{00000007-7C5D-4718-874B-31A852CAF5F0}"/>
                  </c:ext>
                </c:extLst>
              </c15:ser>
            </c15:filteredBarSeries>
          </c:ext>
        </c:extLst>
      </c:barChart>
      <c:lineChart>
        <c:grouping val="standard"/>
        <c:varyColors val="0"/>
        <c:ser>
          <c:idx val="2"/>
          <c:order val="2"/>
          <c:tx>
            <c:strRef>
              <c:f>Working_Analysis!$D$171</c:f>
              <c:strCache>
                <c:ptCount val="1"/>
                <c:pt idx="0">
                  <c:v>Overall  Average</c:v>
                </c:pt>
              </c:strCache>
            </c:strRef>
          </c:tx>
          <c:spPr>
            <a:ln w="28575" cap="rnd">
              <a:solidFill>
                <a:srgbClr val="8FAE6B"/>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7C5D-4718-874B-31A852CAF5F0}"/>
                </c:ext>
              </c:extLst>
            </c:dLbl>
            <c:dLbl>
              <c:idx val="1"/>
              <c:delete val="1"/>
              <c:extLst>
                <c:ext xmlns:c15="http://schemas.microsoft.com/office/drawing/2012/chart" uri="{CE6537A1-D6FC-4f65-9D91-7224C49458BB}"/>
                <c:ext xmlns:c16="http://schemas.microsoft.com/office/drawing/2014/chart" uri="{C3380CC4-5D6E-409C-BE32-E72D297353CC}">
                  <c16:uniqueId val="{00000002-7C5D-4718-874B-31A852CAF5F0}"/>
                </c:ext>
              </c:extLst>
            </c:dLbl>
            <c:dLbl>
              <c:idx val="2"/>
              <c:delete val="1"/>
              <c:extLst>
                <c:ext xmlns:c15="http://schemas.microsoft.com/office/drawing/2012/chart" uri="{CE6537A1-D6FC-4f65-9D91-7224C49458BB}"/>
                <c:ext xmlns:c16="http://schemas.microsoft.com/office/drawing/2014/chart" uri="{C3380CC4-5D6E-409C-BE32-E72D297353CC}">
                  <c16:uniqueId val="{00000003-7C5D-4718-874B-31A852CAF5F0}"/>
                </c:ext>
              </c:extLst>
            </c:dLbl>
            <c:dLbl>
              <c:idx val="3"/>
              <c:delete val="1"/>
              <c:extLst>
                <c:ext xmlns:c15="http://schemas.microsoft.com/office/drawing/2012/chart" uri="{CE6537A1-D6FC-4f65-9D91-7224C49458BB}"/>
                <c:ext xmlns:c16="http://schemas.microsoft.com/office/drawing/2014/chart" uri="{C3380CC4-5D6E-409C-BE32-E72D297353CC}">
                  <c16:uniqueId val="{00000004-7C5D-4718-874B-31A852CAF5F0}"/>
                </c:ext>
              </c:extLst>
            </c:dLbl>
            <c:dLbl>
              <c:idx val="4"/>
              <c:layout>
                <c:manualLayout>
                  <c:x val="-1.5541246710776926E-16"/>
                  <c:y val="-4.0585668181549834E-17"/>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CDDC3CD0-10C4-4821-B4F0-17D92BFE9C54}" type="SERIESNAME">
                      <a:rPr lang="en-US" b="1"/>
                      <a:pPr>
                        <a:defRPr b="1"/>
                      </a:pPr>
                      <a:t>[SERIES NAME]</a:t>
                    </a:fld>
                    <a:endParaRPr lang="en-US" b="1"/>
                  </a:p>
                  <a:p>
                    <a:pPr>
                      <a:defRPr b="1"/>
                    </a:pPr>
                    <a:r>
                      <a:rPr lang="en-US" b="1"/>
                      <a:t>54.78%</a:t>
                    </a:r>
                  </a:p>
                  <a:p>
                    <a:pPr>
                      <a:defRPr b="1"/>
                    </a:pPr>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9067297490599"/>
                      <c:h val="0.28189904772197594"/>
                    </c:manualLayout>
                  </c15:layout>
                  <c15:dlblFieldTable/>
                  <c15:showDataLabelsRange val="0"/>
                </c:ext>
                <c:ext xmlns:c16="http://schemas.microsoft.com/office/drawing/2014/chart" uri="{C3380CC4-5D6E-409C-BE32-E72D297353CC}">
                  <c16:uniqueId val="{00000005-7C5D-4718-874B-31A852CAF5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Working_Analysis!$D$172:$D$176</c:f>
              <c:numCache>
                <c:formatCode>0.00%</c:formatCode>
                <c:ptCount val="5"/>
                <c:pt idx="0">
                  <c:v>0.54784538844240327</c:v>
                </c:pt>
                <c:pt idx="1">
                  <c:v>0.54784538844240327</c:v>
                </c:pt>
                <c:pt idx="2">
                  <c:v>0.54784538844240327</c:v>
                </c:pt>
                <c:pt idx="3">
                  <c:v>0.54784538844240327</c:v>
                </c:pt>
                <c:pt idx="4">
                  <c:v>0.54784538844240327</c:v>
                </c:pt>
              </c:numCache>
            </c:numRef>
          </c:val>
          <c:smooth val="0"/>
          <c:extLst>
            <c:ext xmlns:c16="http://schemas.microsoft.com/office/drawing/2014/chart" uri="{C3380CC4-5D6E-409C-BE32-E72D297353CC}">
              <c16:uniqueId val="{00000006-7C5D-4718-874B-31A852CAF5F0}"/>
            </c:ext>
          </c:extLst>
        </c:ser>
        <c:dLbls>
          <c:showLegendKey val="0"/>
          <c:showVal val="0"/>
          <c:showCatName val="0"/>
          <c:showSerName val="0"/>
          <c:showPercent val="0"/>
          <c:showBubbleSize val="0"/>
        </c:dLbls>
        <c:marker val="1"/>
        <c:smooth val="0"/>
        <c:axId val="19610976"/>
        <c:axId val="19616736"/>
      </c:lineChart>
      <c:catAx>
        <c:axId val="1961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736"/>
        <c:crosses val="autoZero"/>
        <c:auto val="1"/>
        <c:lblAlgn val="ctr"/>
        <c:lblOffset val="100"/>
        <c:noMultiLvlLbl val="0"/>
      </c:catAx>
      <c:valAx>
        <c:axId val="19616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New Customers from Instagram Shop Have the Highest Return Rates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Working_Analysis!$I$213</c:f>
              <c:strCache>
                <c:ptCount val="1"/>
                <c:pt idx="0">
                  <c:v>New (%)</c:v>
                </c:pt>
              </c:strCache>
            </c:strRef>
          </c:tx>
          <c:spPr>
            <a:solidFill>
              <a:srgbClr val="2F6F73"/>
            </a:solidFill>
            <a:ln>
              <a:noFill/>
            </a:ln>
            <a:effectLst/>
          </c:spPr>
          <c:invertIfNegative val="0"/>
          <c:cat>
            <c:strRef>
              <c:f>Working_Analysis!$H$214:$H$216</c:f>
              <c:strCache>
                <c:ptCount val="3"/>
                <c:pt idx="0">
                  <c:v>Instagram Shop</c:v>
                </c:pt>
                <c:pt idx="1">
                  <c:v>Mobile App</c:v>
                </c:pt>
                <c:pt idx="2">
                  <c:v>Website</c:v>
                </c:pt>
              </c:strCache>
            </c:strRef>
          </c:cat>
          <c:val>
            <c:numRef>
              <c:f>Working_Analysis!$I$214:$I$216</c:f>
              <c:numCache>
                <c:formatCode>0.00%</c:formatCode>
                <c:ptCount val="3"/>
                <c:pt idx="0">
                  <c:v>0.74119999999999997</c:v>
                </c:pt>
                <c:pt idx="1">
                  <c:v>0.56789999999999996</c:v>
                </c:pt>
                <c:pt idx="2">
                  <c:v>0.43680000000000002</c:v>
                </c:pt>
              </c:numCache>
            </c:numRef>
          </c:val>
          <c:extLst>
            <c:ext xmlns:c16="http://schemas.microsoft.com/office/drawing/2014/chart" uri="{C3380CC4-5D6E-409C-BE32-E72D297353CC}">
              <c16:uniqueId val="{00000000-F1FA-4C66-90F6-287630A4CA56}"/>
            </c:ext>
          </c:extLst>
        </c:ser>
        <c:ser>
          <c:idx val="1"/>
          <c:order val="1"/>
          <c:tx>
            <c:strRef>
              <c:f>Working_Analysis!$J$213</c:f>
              <c:strCache>
                <c:ptCount val="1"/>
                <c:pt idx="0">
                  <c:v>Returning (%)</c:v>
                </c:pt>
              </c:strCache>
            </c:strRef>
          </c:tx>
          <c:spPr>
            <a:solidFill>
              <a:srgbClr val="7A9CC6"/>
            </a:solidFill>
            <a:ln>
              <a:noFill/>
            </a:ln>
            <a:effectLst/>
          </c:spPr>
          <c:invertIfNegative val="0"/>
          <c:cat>
            <c:strRef>
              <c:f>Working_Analysis!$H$214:$H$216</c:f>
              <c:strCache>
                <c:ptCount val="3"/>
                <c:pt idx="0">
                  <c:v>Instagram Shop</c:v>
                </c:pt>
                <c:pt idx="1">
                  <c:v>Mobile App</c:v>
                </c:pt>
                <c:pt idx="2">
                  <c:v>Website</c:v>
                </c:pt>
              </c:strCache>
            </c:strRef>
          </c:cat>
          <c:val>
            <c:numRef>
              <c:f>Working_Analysis!$J$214:$J$216</c:f>
              <c:numCache>
                <c:formatCode>0.00%</c:formatCode>
                <c:ptCount val="3"/>
                <c:pt idx="0">
                  <c:v>0.4</c:v>
                </c:pt>
                <c:pt idx="1">
                  <c:v>0.55559999999999998</c:v>
                </c:pt>
                <c:pt idx="2">
                  <c:v>0.35709999999999997</c:v>
                </c:pt>
              </c:numCache>
            </c:numRef>
          </c:val>
          <c:extLst>
            <c:ext xmlns:c16="http://schemas.microsoft.com/office/drawing/2014/chart" uri="{C3380CC4-5D6E-409C-BE32-E72D297353CC}">
              <c16:uniqueId val="{00000001-F1FA-4C66-90F6-287630A4CA56}"/>
            </c:ext>
          </c:extLst>
        </c:ser>
        <c:dLbls>
          <c:showLegendKey val="0"/>
          <c:showVal val="0"/>
          <c:showCatName val="0"/>
          <c:showSerName val="0"/>
          <c:showPercent val="0"/>
          <c:showBubbleSize val="0"/>
        </c:dLbls>
        <c:gapWidth val="219"/>
        <c:overlap val="-27"/>
        <c:axId val="174208272"/>
        <c:axId val="174203472"/>
      </c:barChart>
      <c:catAx>
        <c:axId val="17420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3472"/>
        <c:crosses val="autoZero"/>
        <c:auto val="1"/>
        <c:lblAlgn val="ctr"/>
        <c:lblOffset val="100"/>
        <c:noMultiLvlLbl val="0"/>
      </c:catAx>
      <c:valAx>
        <c:axId val="174203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947056</xdr:colOff>
      <xdr:row>119</xdr:row>
      <xdr:rowOff>21771</xdr:rowOff>
    </xdr:from>
    <xdr:to>
      <xdr:col>11</xdr:col>
      <xdr:colOff>468084</xdr:colOff>
      <xdr:row>147</xdr:row>
      <xdr:rowOff>87085</xdr:rowOff>
    </xdr:to>
    <xdr:sp macro="" textlink="">
      <xdr:nvSpPr>
        <xdr:cNvPr id="2" name="TextBox 1">
          <a:extLst>
            <a:ext uri="{FF2B5EF4-FFF2-40B4-BE49-F238E27FC236}">
              <a16:creationId xmlns:a16="http://schemas.microsoft.com/office/drawing/2014/main" id="{1FB9A14F-8B34-6F38-14AA-CA416E319D2F}"/>
            </a:ext>
          </a:extLst>
        </xdr:cNvPr>
        <xdr:cNvSpPr txBox="1"/>
      </xdr:nvSpPr>
      <xdr:spPr>
        <a:xfrm>
          <a:off x="947056" y="24765000"/>
          <a:ext cx="15653657" cy="5246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Business Interpretation Questions</a:t>
          </a:r>
        </a:p>
        <a:p>
          <a:r>
            <a:rPr lang="en-IN" sz="1800"/>
            <a:t>Q1. If the overall return rate is high, but returning customers have a much lower return rate than new customers, what does this tell?</a:t>
          </a:r>
        </a:p>
        <a:p>
          <a:r>
            <a:rPr lang="en-IN" sz="1800"/>
            <a:t>-</a:t>
          </a:r>
          <a:r>
            <a:rPr lang="en-IN" sz="1800" baseline="0"/>
            <a:t> </a:t>
          </a:r>
          <a:r>
            <a:rPr lang="en-IN" sz="1800"/>
            <a:t>The higher return rate among new customers indicates that returns are primarily driven by first-time buyers, while returning customers demonstrate more stable and predictable purchase behavior. This suggests that business growth is currently being driven by customer acquisition, but at the cost of higher return risk. Improving expectation setting, product information, and onboarding experience for new customers could significantly reduce overall returns.</a:t>
          </a:r>
        </a:p>
        <a:p>
          <a:endParaRPr lang="en-IN" sz="1800"/>
        </a:p>
        <a:p>
          <a:r>
            <a:rPr lang="en-IN" sz="1800"/>
            <a:t>Q2. If a large share of returns cite “Size Issue,” what operational changes might help reduce returns?</a:t>
          </a:r>
        </a:p>
        <a:p>
          <a:r>
            <a:rPr lang="en-IN" sz="1800"/>
            <a:t>-A high proportion of size-related returns suggests a mismatch between customer expectations and actual product fit. This can be addressed through operational and merchandising improvements rather than pricing changes.</a:t>
          </a:r>
        </a:p>
        <a:p>
          <a:r>
            <a:rPr lang="en-IN" sz="1800" b="1"/>
            <a:t>Recommended actions:</a:t>
          </a:r>
          <a:endParaRPr lang="en-IN" sz="1800"/>
        </a:p>
        <a:p>
          <a:r>
            <a:rPr lang="en-IN" sz="1800"/>
            <a:t>- Improve size charts with accurate body measurements and fit guidance</a:t>
          </a:r>
        </a:p>
        <a:p>
          <a:r>
            <a:rPr lang="en-IN" sz="1800"/>
            <a:t>- Standardize sizing across suppliers to reduce inconsistencies</a:t>
          </a:r>
        </a:p>
        <a:p>
          <a:endParaRPr lang="en-IN" sz="1800"/>
        </a:p>
        <a:p>
          <a:r>
            <a:rPr lang="en-IN" sz="1800"/>
            <a:t>Q3. If Instagram Shop has the highest return rate, should the channel be shut down?</a:t>
          </a:r>
        </a:p>
        <a:p>
          <a:r>
            <a:rPr lang="en-IN" sz="1800"/>
            <a:t>- A high return rate alone is not sufficient to recommend shutting down the Instagram Shop channel. While returns are higher, the channel may still be valuable for customer acquisition and brand discovery.</a:t>
          </a:r>
        </a:p>
        <a:p>
          <a:endParaRPr lang="en-IN" sz="1800"/>
        </a:p>
        <a:p>
          <a:endParaRPr lang="en-IN" sz="1800"/>
        </a:p>
        <a:p>
          <a:r>
            <a:rPr lang="en-IN" sz="1800"/>
            <a:t>	</a:t>
          </a:r>
        </a:p>
        <a:p>
          <a:endParaRPr lang="en-IN" sz="1100"/>
        </a:p>
        <a:p>
          <a:endParaRPr lang="en-IN" sz="1100"/>
        </a:p>
      </xdr:txBody>
    </xdr:sp>
    <xdr:clientData/>
  </xdr:twoCellAnchor>
  <xdr:twoCellAnchor>
    <xdr:from>
      <xdr:col>5</xdr:col>
      <xdr:colOff>729342</xdr:colOff>
      <xdr:row>152</xdr:row>
      <xdr:rowOff>38102</xdr:rowOff>
    </xdr:from>
    <xdr:to>
      <xdr:col>9</xdr:col>
      <xdr:colOff>957943</xdr:colOff>
      <xdr:row>167</xdr:row>
      <xdr:rowOff>5445</xdr:rowOff>
    </xdr:to>
    <xdr:graphicFrame macro="">
      <xdr:nvGraphicFramePr>
        <xdr:cNvPr id="4" name="Chart 3">
          <a:extLst>
            <a:ext uri="{FF2B5EF4-FFF2-40B4-BE49-F238E27FC236}">
              <a16:creationId xmlns:a16="http://schemas.microsoft.com/office/drawing/2014/main" id="{9F8489D9-0117-5FDB-B3A9-13DABAB75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161109</xdr:colOff>
      <xdr:row>152</xdr:row>
      <xdr:rowOff>174172</xdr:rowOff>
    </xdr:from>
    <xdr:to>
      <xdr:col>13</xdr:col>
      <xdr:colOff>348343</xdr:colOff>
      <xdr:row>164</xdr:row>
      <xdr:rowOff>130629</xdr:rowOff>
    </xdr:to>
    <xdr:sp macro="" textlink="">
      <xdr:nvSpPr>
        <xdr:cNvPr id="5" name="TextBox 4">
          <a:extLst>
            <a:ext uri="{FF2B5EF4-FFF2-40B4-BE49-F238E27FC236}">
              <a16:creationId xmlns:a16="http://schemas.microsoft.com/office/drawing/2014/main" id="{D792D516-989F-03A7-43B8-E636D505D973}"/>
            </a:ext>
          </a:extLst>
        </xdr:cNvPr>
        <xdr:cNvSpPr txBox="1"/>
      </xdr:nvSpPr>
      <xdr:spPr>
        <a:xfrm>
          <a:off x="12636138" y="31024286"/>
          <a:ext cx="4519748" cy="2177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Insight</a:t>
          </a:r>
        </a:p>
        <a:p>
          <a:pPr algn="l"/>
          <a:r>
            <a:rPr lang="en-IN" sz="1600"/>
            <a:t>Weekly orders were highest during Diwali week (W44). At the same time, returns were also very high (77%). This suggests that many people ordered mainly because of heavy discounts, not because they really wanted the products. After Diwali, order numbers came back to normal, but return rates stayed high. This shows that delivery and product quality issues continued even after the festival.</a:t>
          </a:r>
        </a:p>
      </xdr:txBody>
    </xdr:sp>
    <xdr:clientData/>
  </xdr:twoCellAnchor>
  <xdr:twoCellAnchor>
    <xdr:from>
      <xdr:col>5</xdr:col>
      <xdr:colOff>321126</xdr:colOff>
      <xdr:row>170</xdr:row>
      <xdr:rowOff>65315</xdr:rowOff>
    </xdr:from>
    <xdr:to>
      <xdr:col>9</xdr:col>
      <xdr:colOff>729342</xdr:colOff>
      <xdr:row>185</xdr:row>
      <xdr:rowOff>157843</xdr:rowOff>
    </xdr:to>
    <xdr:graphicFrame macro="">
      <xdr:nvGraphicFramePr>
        <xdr:cNvPr id="8" name="Chart 7">
          <a:extLst>
            <a:ext uri="{FF2B5EF4-FFF2-40B4-BE49-F238E27FC236}">
              <a16:creationId xmlns:a16="http://schemas.microsoft.com/office/drawing/2014/main" id="{65CC3726-DF43-4E93-9DC6-A656ED69B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21772</xdr:colOff>
      <xdr:row>172</xdr:row>
      <xdr:rowOff>0</xdr:rowOff>
    </xdr:from>
    <xdr:to>
      <xdr:col>14</xdr:col>
      <xdr:colOff>849087</xdr:colOff>
      <xdr:row>183</xdr:row>
      <xdr:rowOff>141514</xdr:rowOff>
    </xdr:to>
    <xdr:sp macro="" textlink="">
      <xdr:nvSpPr>
        <xdr:cNvPr id="9" name="TextBox 8">
          <a:extLst>
            <a:ext uri="{FF2B5EF4-FFF2-40B4-BE49-F238E27FC236}">
              <a16:creationId xmlns:a16="http://schemas.microsoft.com/office/drawing/2014/main" id="{338B2D6D-4300-42D7-AC54-8E931DE2CFD3}"/>
            </a:ext>
          </a:extLst>
        </xdr:cNvPr>
        <xdr:cNvSpPr txBox="1"/>
      </xdr:nvSpPr>
      <xdr:spPr>
        <a:xfrm>
          <a:off x="12496801" y="34551257"/>
          <a:ext cx="5769429" cy="2177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Insight</a:t>
          </a:r>
        </a:p>
        <a:p>
          <a:pPr algn="l"/>
          <a:r>
            <a:rPr lang="en-IN" sz="1600"/>
            <a:t>Outerwear has the highest return rate at 80%, which is much higher than the overall average of 54.9%. This makes it the biggest problem category and a major reason for high returns.</a:t>
          </a:r>
        </a:p>
      </xdr:txBody>
    </xdr:sp>
    <xdr:clientData/>
  </xdr:twoCellAnchor>
  <xdr:twoCellAnchor>
    <xdr:from>
      <xdr:col>5</xdr:col>
      <xdr:colOff>685800</xdr:colOff>
      <xdr:row>188</xdr:row>
      <xdr:rowOff>103415</xdr:rowOff>
    </xdr:from>
    <xdr:to>
      <xdr:col>9</xdr:col>
      <xdr:colOff>326571</xdr:colOff>
      <xdr:row>203</xdr:row>
      <xdr:rowOff>70757</xdr:rowOff>
    </xdr:to>
    <xdr:graphicFrame macro="">
      <xdr:nvGraphicFramePr>
        <xdr:cNvPr id="11" name="Chart 10">
          <a:extLst>
            <a:ext uri="{FF2B5EF4-FFF2-40B4-BE49-F238E27FC236}">
              <a16:creationId xmlns:a16="http://schemas.microsoft.com/office/drawing/2014/main" id="{77A35711-5D1F-A486-E9FD-2EFA12BAE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1643744</xdr:colOff>
      <xdr:row>188</xdr:row>
      <xdr:rowOff>174172</xdr:rowOff>
    </xdr:from>
    <xdr:to>
      <xdr:col>14</xdr:col>
      <xdr:colOff>794659</xdr:colOff>
      <xdr:row>200</xdr:row>
      <xdr:rowOff>130629</xdr:rowOff>
    </xdr:to>
    <xdr:sp macro="" textlink="">
      <xdr:nvSpPr>
        <xdr:cNvPr id="12" name="TextBox 11">
          <a:extLst>
            <a:ext uri="{FF2B5EF4-FFF2-40B4-BE49-F238E27FC236}">
              <a16:creationId xmlns:a16="http://schemas.microsoft.com/office/drawing/2014/main" id="{48100466-A225-4FFB-BFF4-1B99655CC869}"/>
            </a:ext>
          </a:extLst>
        </xdr:cNvPr>
        <xdr:cNvSpPr txBox="1"/>
      </xdr:nvSpPr>
      <xdr:spPr>
        <a:xfrm>
          <a:off x="14761030" y="37686343"/>
          <a:ext cx="5769429" cy="2177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Insight</a:t>
          </a:r>
        </a:p>
        <a:p>
          <a:pPr algn="l"/>
          <a:r>
            <a:rPr lang="en-IN" sz="1600"/>
            <a:t>Size problems are the main reason for returns, making up about 37% of all returns. Every other reason on its own accounts for less than 20%.</a:t>
          </a:r>
        </a:p>
      </xdr:txBody>
    </xdr:sp>
    <xdr:clientData/>
  </xdr:twoCellAnchor>
  <xdr:twoCellAnchor>
    <xdr:from>
      <xdr:col>12</xdr:col>
      <xdr:colOff>315687</xdr:colOff>
      <xdr:row>206</xdr:row>
      <xdr:rowOff>163286</xdr:rowOff>
    </xdr:from>
    <xdr:to>
      <xdr:col>16</xdr:col>
      <xdr:colOff>304801</xdr:colOff>
      <xdr:row>218</xdr:row>
      <xdr:rowOff>119743</xdr:rowOff>
    </xdr:to>
    <xdr:sp macro="" textlink="">
      <xdr:nvSpPr>
        <xdr:cNvPr id="7" name="TextBox 6">
          <a:extLst>
            <a:ext uri="{FF2B5EF4-FFF2-40B4-BE49-F238E27FC236}">
              <a16:creationId xmlns:a16="http://schemas.microsoft.com/office/drawing/2014/main" id="{519D0F08-417E-432F-9C7C-752FE1E86583}"/>
            </a:ext>
          </a:extLst>
        </xdr:cNvPr>
        <xdr:cNvSpPr txBox="1"/>
      </xdr:nvSpPr>
      <xdr:spPr>
        <a:xfrm>
          <a:off x="15621001" y="40821429"/>
          <a:ext cx="5769429" cy="2177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Insight</a:t>
          </a:r>
        </a:p>
        <a:p>
          <a:pPr algn="l"/>
          <a:r>
            <a:rPr lang="en-IN" sz="1600"/>
            <a:t>New Instagram Shop customers return the most, whereas Mobile App return rates are similar for both new and returning customers.</a:t>
          </a:r>
        </a:p>
      </xdr:txBody>
    </xdr:sp>
    <xdr:clientData/>
  </xdr:twoCellAnchor>
  <xdr:twoCellAnchor>
    <xdr:from>
      <xdr:col>8</xdr:col>
      <xdr:colOff>283028</xdr:colOff>
      <xdr:row>223</xdr:row>
      <xdr:rowOff>65315</xdr:rowOff>
    </xdr:from>
    <xdr:to>
      <xdr:col>11</xdr:col>
      <xdr:colOff>925285</xdr:colOff>
      <xdr:row>240</xdr:row>
      <xdr:rowOff>125186</xdr:rowOff>
    </xdr:to>
    <xdr:graphicFrame macro="">
      <xdr:nvGraphicFramePr>
        <xdr:cNvPr id="10" name="Chart 9">
          <a:extLst>
            <a:ext uri="{FF2B5EF4-FFF2-40B4-BE49-F238E27FC236}">
              <a16:creationId xmlns:a16="http://schemas.microsoft.com/office/drawing/2014/main" id="{D66EC20B-E484-E2F6-8BF8-6C0E6DFD4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1219200</xdr:colOff>
      <xdr:row>224</xdr:row>
      <xdr:rowOff>1</xdr:rowOff>
    </xdr:from>
    <xdr:to>
      <xdr:col>14</xdr:col>
      <xdr:colOff>2046515</xdr:colOff>
      <xdr:row>235</xdr:row>
      <xdr:rowOff>141515</xdr:rowOff>
    </xdr:to>
    <xdr:sp macro="" textlink="">
      <xdr:nvSpPr>
        <xdr:cNvPr id="14" name="TextBox 13">
          <a:extLst>
            <a:ext uri="{FF2B5EF4-FFF2-40B4-BE49-F238E27FC236}">
              <a16:creationId xmlns:a16="http://schemas.microsoft.com/office/drawing/2014/main" id="{F012E950-48E3-4890-9A4E-E597C420805C}"/>
            </a:ext>
          </a:extLst>
        </xdr:cNvPr>
        <xdr:cNvSpPr txBox="1"/>
      </xdr:nvSpPr>
      <xdr:spPr>
        <a:xfrm>
          <a:off x="13008429" y="43989172"/>
          <a:ext cx="5769429" cy="2177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Insight</a:t>
          </a:r>
        </a:p>
        <a:p>
          <a:pPr algn="l"/>
          <a:r>
            <a:rPr lang="en-IN" sz="1600"/>
            <a:t>Cash-on-delivery (COD) orders are returned or canceled more often than prepaid orders, which increases extra work and costs for handling returns.</a:t>
          </a:r>
        </a:p>
      </xdr:txBody>
    </xdr:sp>
    <xdr:clientData/>
  </xdr:twoCellAnchor>
  <xdr:twoCellAnchor>
    <xdr:from>
      <xdr:col>10</xdr:col>
      <xdr:colOff>195942</xdr:colOff>
      <xdr:row>207</xdr:row>
      <xdr:rowOff>70758</xdr:rowOff>
    </xdr:from>
    <xdr:to>
      <xdr:col>11</xdr:col>
      <xdr:colOff>3091542</xdr:colOff>
      <xdr:row>222</xdr:row>
      <xdr:rowOff>38101</xdr:rowOff>
    </xdr:to>
    <xdr:graphicFrame macro="">
      <xdr:nvGraphicFramePr>
        <xdr:cNvPr id="15" name="Chart 14">
          <a:extLst>
            <a:ext uri="{FF2B5EF4-FFF2-40B4-BE49-F238E27FC236}">
              <a16:creationId xmlns:a16="http://schemas.microsoft.com/office/drawing/2014/main" id="{7A1283A2-4411-A3F6-CD4E-61BCD7ECC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72</xdr:row>
      <xdr:rowOff>7620</xdr:rowOff>
    </xdr:from>
    <xdr:to>
      <xdr:col>12</xdr:col>
      <xdr:colOff>1531620</xdr:colOff>
      <xdr:row>88</xdr:row>
      <xdr:rowOff>137160</xdr:rowOff>
    </xdr:to>
    <xdr:sp macro="" textlink="">
      <xdr:nvSpPr>
        <xdr:cNvPr id="2" name="TextBox 1">
          <a:extLst>
            <a:ext uri="{FF2B5EF4-FFF2-40B4-BE49-F238E27FC236}">
              <a16:creationId xmlns:a16="http://schemas.microsoft.com/office/drawing/2014/main" id="{567FAA1A-DA5F-350C-5ADD-F1764C4C4171}"/>
            </a:ext>
          </a:extLst>
        </xdr:cNvPr>
        <xdr:cNvSpPr txBox="1"/>
      </xdr:nvSpPr>
      <xdr:spPr>
        <a:xfrm>
          <a:off x="3048000" y="13921740"/>
          <a:ext cx="10782300" cy="3055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dk1"/>
              </a:solidFill>
              <a:effectLst/>
              <a:latin typeface="+mn-lt"/>
              <a:ea typeface="+mn-ea"/>
              <a:cs typeface="+mn-cs"/>
            </a:rPr>
            <a:t>Business Interpretation Questions</a:t>
          </a:r>
          <a:endParaRPr lang="en-IN" b="1">
            <a:effectLst/>
          </a:endParaRPr>
        </a:p>
        <a:p>
          <a:pPr algn="l"/>
          <a:r>
            <a:rPr lang="en-IN" sz="1100" b="1">
              <a:solidFill>
                <a:schemeClr val="dk1"/>
              </a:solidFill>
              <a:effectLst/>
              <a:latin typeface="+mn-lt"/>
              <a:ea typeface="+mn-ea"/>
              <a:cs typeface="+mn-cs"/>
            </a:rPr>
            <a:t>Q1. If the overall return rate is high, but returning customers have a much lower return rate than new customers, what does this tell?</a:t>
          </a:r>
          <a:endParaRPr lang="en-IN" b="1">
            <a:effectLst/>
          </a:endParaRPr>
        </a:p>
        <a:p>
          <a:pPr algn="l"/>
          <a:r>
            <a:rPr lang="en-IN" sz="1100">
              <a:solidFill>
                <a:schemeClr val="dk1"/>
              </a:solidFill>
              <a:effectLst/>
              <a:latin typeface="+mn-lt"/>
              <a:ea typeface="+mn-ea"/>
              <a:cs typeface="+mn-cs"/>
            </a:rPr>
            <a:t>-</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The higher return rate among new customers indicates that returns are primarily driven by first-time buyers, while returning customers demonstrate more stable and predictable purchase behavior. This suggests that business growth is currently being driven by customer acquisition, but at the cost of higher return risk. Improving expectation setting, product information, and onboarding experience for new customers could significantly reduce overall returns.</a:t>
          </a:r>
        </a:p>
        <a:p>
          <a:pPr algn="l"/>
          <a:endParaRPr lang="en-IN">
            <a:effectLst/>
          </a:endParaRPr>
        </a:p>
        <a:p>
          <a:pPr algn="l"/>
          <a:r>
            <a:rPr lang="en-IN" sz="1100" b="1">
              <a:solidFill>
                <a:schemeClr val="dk1"/>
              </a:solidFill>
              <a:effectLst/>
              <a:latin typeface="+mn-lt"/>
              <a:ea typeface="+mn-ea"/>
              <a:cs typeface="+mn-cs"/>
            </a:rPr>
            <a:t>Q2. If a large share of returns cite “Size Issue,” what operational changes might help reduce returns?</a:t>
          </a:r>
          <a:endParaRPr lang="en-IN" b="1">
            <a:effectLst/>
          </a:endParaRPr>
        </a:p>
        <a:p>
          <a:pPr algn="l"/>
          <a:r>
            <a:rPr lang="en-IN" sz="1100">
              <a:solidFill>
                <a:schemeClr val="dk1"/>
              </a:solidFill>
              <a:effectLst/>
              <a:latin typeface="+mn-lt"/>
              <a:ea typeface="+mn-ea"/>
              <a:cs typeface="+mn-cs"/>
            </a:rPr>
            <a:t>-A high proportion of size-related returns suggests a mismatch between customer expectations and actual product fit. This can be addressed through operational and merchandising improvements rather than pricing changes.</a:t>
          </a:r>
        </a:p>
        <a:p>
          <a:pPr algn="l"/>
          <a:endParaRPr lang="en-IN">
            <a:effectLst/>
          </a:endParaRPr>
        </a:p>
        <a:p>
          <a:pPr algn="l"/>
          <a:r>
            <a:rPr lang="en-IN" sz="1100" b="1">
              <a:solidFill>
                <a:schemeClr val="dk1"/>
              </a:solidFill>
              <a:effectLst/>
              <a:latin typeface="+mn-lt"/>
              <a:ea typeface="+mn-ea"/>
              <a:cs typeface="+mn-cs"/>
            </a:rPr>
            <a:t>Recommended actions:</a:t>
          </a:r>
          <a:endParaRPr lang="en-IN">
            <a:effectLst/>
          </a:endParaRPr>
        </a:p>
        <a:p>
          <a:pPr algn="l"/>
          <a:r>
            <a:rPr lang="en-IN" sz="1100">
              <a:solidFill>
                <a:schemeClr val="dk1"/>
              </a:solidFill>
              <a:effectLst/>
              <a:latin typeface="+mn-lt"/>
              <a:ea typeface="+mn-ea"/>
              <a:cs typeface="+mn-cs"/>
            </a:rPr>
            <a:t>- Improve size charts with accurate body measurements and fit guidance</a:t>
          </a:r>
          <a:endParaRPr lang="en-IN">
            <a:effectLst/>
          </a:endParaRPr>
        </a:p>
        <a:p>
          <a:pPr algn="l"/>
          <a:r>
            <a:rPr lang="en-IN" sz="1100">
              <a:solidFill>
                <a:schemeClr val="dk1"/>
              </a:solidFill>
              <a:effectLst/>
              <a:latin typeface="+mn-lt"/>
              <a:ea typeface="+mn-ea"/>
              <a:cs typeface="+mn-cs"/>
            </a:rPr>
            <a:t>- Standardize sizing across suppliers to reduce inconsistencies</a:t>
          </a:r>
        </a:p>
        <a:p>
          <a:pPr algn="l"/>
          <a:endParaRPr lang="en-IN">
            <a:effectLst/>
          </a:endParaRPr>
        </a:p>
        <a:p>
          <a:pPr algn="l"/>
          <a:r>
            <a:rPr lang="en-IN" sz="1100" b="1">
              <a:solidFill>
                <a:schemeClr val="dk1"/>
              </a:solidFill>
              <a:effectLst/>
              <a:latin typeface="+mn-lt"/>
              <a:ea typeface="+mn-ea"/>
              <a:cs typeface="+mn-cs"/>
            </a:rPr>
            <a:t>Q3. If Instagram Shop has the highest return rate, should the channel be shut down?</a:t>
          </a:r>
          <a:endParaRPr lang="en-IN" b="1">
            <a:effectLst/>
          </a:endParaRPr>
        </a:p>
        <a:p>
          <a:pPr algn="l"/>
          <a:r>
            <a:rPr lang="en-IN" sz="1100">
              <a:solidFill>
                <a:schemeClr val="dk1"/>
              </a:solidFill>
              <a:effectLst/>
              <a:latin typeface="+mn-lt"/>
              <a:ea typeface="+mn-ea"/>
              <a:cs typeface="+mn-cs"/>
            </a:rPr>
            <a:t>- A high return rate alone is not sufficient to recommend shutting down the Instagram Shop channel. While returns are higher, the channel may still be valuable for customer acquisition and brand discovery.</a:t>
          </a:r>
          <a:endParaRPr lang="en-IN">
            <a:effectLst/>
          </a:endParaRPr>
        </a:p>
        <a:p>
          <a:r>
            <a:rPr lang="en-IN" sz="1100">
              <a:solidFill>
                <a:schemeClr val="dk1"/>
              </a:solidFill>
              <a:effectLst/>
              <a:latin typeface="+mn-lt"/>
              <a:ea typeface="+mn-ea"/>
              <a:cs typeface="+mn-cs"/>
            </a:rPr>
            <a:t>	</a:t>
          </a:r>
          <a:endParaRPr lang="en-IN">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42134</xdr:colOff>
      <xdr:row>19</xdr:row>
      <xdr:rowOff>28239</xdr:rowOff>
    </xdr:from>
    <xdr:to>
      <xdr:col>9</xdr:col>
      <xdr:colOff>11654</xdr:colOff>
      <xdr:row>35</xdr:row>
      <xdr:rowOff>58718</xdr:rowOff>
    </xdr:to>
    <xdr:graphicFrame macro="">
      <xdr:nvGraphicFramePr>
        <xdr:cNvPr id="3" name="Chart 2">
          <a:extLst>
            <a:ext uri="{FF2B5EF4-FFF2-40B4-BE49-F238E27FC236}">
              <a16:creationId xmlns:a16="http://schemas.microsoft.com/office/drawing/2014/main" id="{A29535C3-F1E1-42D4-875D-1713BF346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29583</xdr:colOff>
      <xdr:row>2</xdr:row>
      <xdr:rowOff>120127</xdr:rowOff>
    </xdr:from>
    <xdr:to>
      <xdr:col>9</xdr:col>
      <xdr:colOff>44823</xdr:colOff>
      <xdr:row>17</xdr:row>
      <xdr:rowOff>120127</xdr:rowOff>
    </xdr:to>
    <xdr:graphicFrame macro="">
      <xdr:nvGraphicFramePr>
        <xdr:cNvPr id="5" name="Chart 4">
          <a:extLst>
            <a:ext uri="{FF2B5EF4-FFF2-40B4-BE49-F238E27FC236}">
              <a16:creationId xmlns:a16="http://schemas.microsoft.com/office/drawing/2014/main" id="{F1653635-4C4F-4347-B4CC-9BF0CD0D3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54429</xdr:colOff>
      <xdr:row>36</xdr:row>
      <xdr:rowOff>77993</xdr:rowOff>
    </xdr:from>
    <xdr:to>
      <xdr:col>9</xdr:col>
      <xdr:colOff>10886</xdr:colOff>
      <xdr:row>53</xdr:row>
      <xdr:rowOff>171290</xdr:rowOff>
    </xdr:to>
    <xdr:graphicFrame macro="">
      <xdr:nvGraphicFramePr>
        <xdr:cNvPr id="7" name="Chart 6">
          <a:extLst>
            <a:ext uri="{FF2B5EF4-FFF2-40B4-BE49-F238E27FC236}">
              <a16:creationId xmlns:a16="http://schemas.microsoft.com/office/drawing/2014/main" id="{EC102235-176A-488B-9B07-F9754010F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225334</xdr:colOff>
      <xdr:row>2</xdr:row>
      <xdr:rowOff>102262</xdr:rowOff>
    </xdr:from>
    <xdr:to>
      <xdr:col>19</xdr:col>
      <xdr:colOff>473208</xdr:colOff>
      <xdr:row>17</xdr:row>
      <xdr:rowOff>97972</xdr:rowOff>
    </xdr:to>
    <xdr:graphicFrame macro="">
      <xdr:nvGraphicFramePr>
        <xdr:cNvPr id="8" name="Chart 7">
          <a:extLst>
            <a:ext uri="{FF2B5EF4-FFF2-40B4-BE49-F238E27FC236}">
              <a16:creationId xmlns:a16="http://schemas.microsoft.com/office/drawing/2014/main" id="{2AC531D3-9CFB-4F97-BB71-886E4B7D7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239485</xdr:colOff>
      <xdr:row>18</xdr:row>
      <xdr:rowOff>163285</xdr:rowOff>
    </xdr:from>
    <xdr:to>
      <xdr:col>19</xdr:col>
      <xdr:colOff>500742</xdr:colOff>
      <xdr:row>35</xdr:row>
      <xdr:rowOff>54429</xdr:rowOff>
    </xdr:to>
    <xdr:graphicFrame macro="">
      <xdr:nvGraphicFramePr>
        <xdr:cNvPr id="9" name="Chart 8">
          <a:extLst>
            <a:ext uri="{FF2B5EF4-FFF2-40B4-BE49-F238E27FC236}">
              <a16:creationId xmlns:a16="http://schemas.microsoft.com/office/drawing/2014/main" id="{56CBF01A-909D-4FBB-B2C6-4350617DC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312420</xdr:rowOff>
    </xdr:from>
    <xdr:to>
      <xdr:col>18</xdr:col>
      <xdr:colOff>594360</xdr:colOff>
      <xdr:row>96</xdr:row>
      <xdr:rowOff>38100</xdr:rowOff>
    </xdr:to>
    <xdr:sp macro="" textlink="">
      <xdr:nvSpPr>
        <xdr:cNvPr id="2" name="TextBox 1">
          <a:extLst>
            <a:ext uri="{FF2B5EF4-FFF2-40B4-BE49-F238E27FC236}">
              <a16:creationId xmlns:a16="http://schemas.microsoft.com/office/drawing/2014/main" id="{8E77D0B8-5885-3BD9-7B22-1EAEA1CD8E77}"/>
            </a:ext>
          </a:extLst>
        </xdr:cNvPr>
        <xdr:cNvSpPr txBox="1"/>
      </xdr:nvSpPr>
      <xdr:spPr>
        <a:xfrm>
          <a:off x="609600" y="312420"/>
          <a:ext cx="10957560" cy="17426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Q1. What problem I noticed in the data?</a:t>
          </a:r>
        </a:p>
        <a:p>
          <a:r>
            <a:rPr lang="en-IN" b="1"/>
            <a:t>Answer:</a:t>
          </a:r>
          <a:br>
            <a:rPr lang="en-IN"/>
          </a:br>
          <a:r>
            <a:rPr lang="en-IN"/>
            <a:t>The main problem is that the business has a </a:t>
          </a:r>
          <a:r>
            <a:rPr lang="en-IN" b="1"/>
            <a:t>very high return rate (around 55%)</a:t>
          </a:r>
          <a:r>
            <a:rPr lang="en-IN"/>
            <a:t>, which increases logistics cost and affects profitability.</a:t>
          </a:r>
        </a:p>
        <a:p>
          <a:r>
            <a:rPr lang="en-IN"/>
            <a:t>From the analysis, I noticed that returns are not evenly spread.</a:t>
          </a:r>
          <a:br>
            <a:rPr lang="en-IN"/>
          </a:br>
          <a:r>
            <a:rPr lang="en-IN"/>
            <a:t>Some customer groups and payment methods are causing most of the issues.</a:t>
          </a:r>
        </a:p>
        <a:p>
          <a:endParaRPr lang="en-IN"/>
        </a:p>
        <a:p>
          <a:r>
            <a:rPr lang="en-IN" b="1"/>
            <a:t>Q2. What did I find about COD orders?</a:t>
          </a:r>
        </a:p>
        <a:p>
          <a:r>
            <a:rPr lang="en-IN" b="1"/>
            <a:t>Answer:</a:t>
          </a:r>
          <a:br>
            <a:rPr lang="en-IN"/>
          </a:br>
          <a:r>
            <a:rPr lang="en-IN"/>
            <a:t>COD orders are the biggest risk area.</a:t>
          </a:r>
        </a:p>
        <a:p>
          <a:r>
            <a:rPr lang="en-IN"/>
            <a:t>COD return rate is </a:t>
          </a:r>
          <a:r>
            <a:rPr lang="en-IN" b="1"/>
            <a:t>82.6%</a:t>
          </a:r>
          <a:endParaRPr lang="en-IN"/>
        </a:p>
        <a:p>
          <a:r>
            <a:rPr lang="en-IN"/>
            <a:t>COD RTO rate is </a:t>
          </a:r>
          <a:r>
            <a:rPr lang="en-IN" b="1"/>
            <a:t>25.8%</a:t>
          </a:r>
          <a:endParaRPr lang="en-IN"/>
        </a:p>
        <a:p>
          <a:r>
            <a:rPr lang="en-IN"/>
            <a:t>Prepaid orders have:</a:t>
          </a:r>
        </a:p>
        <a:p>
          <a:pPr lvl="1"/>
          <a:r>
            <a:rPr lang="en-IN"/>
            <a:t>Lower return rate (</a:t>
          </a:r>
          <a:r>
            <a:rPr lang="en-IN" b="1"/>
            <a:t>50.4%</a:t>
          </a:r>
          <a:r>
            <a:rPr lang="en-IN"/>
            <a:t>)</a:t>
          </a:r>
        </a:p>
        <a:p>
          <a:pPr lvl="1"/>
          <a:r>
            <a:rPr lang="en-IN"/>
            <a:t>Almost no RTO (</a:t>
          </a:r>
          <a:r>
            <a:rPr lang="en-IN" b="1"/>
            <a:t>~0.35%</a:t>
          </a:r>
          <a:r>
            <a:rPr lang="en-IN"/>
            <a:t>)</a:t>
          </a:r>
        </a:p>
        <a:p>
          <a:r>
            <a:rPr lang="en-IN"/>
            <a:t>This means many COD orders are either returned or not delivered at all.</a:t>
          </a:r>
        </a:p>
        <a:p>
          <a:endParaRPr lang="en-IN"/>
        </a:p>
        <a:p>
          <a:r>
            <a:rPr lang="en-IN" b="1"/>
            <a:t>Recommendation 1: Reduce COD usage for risky orders</a:t>
          </a:r>
        </a:p>
        <a:p>
          <a:r>
            <a:rPr lang="en-IN" b="1"/>
            <a:t>What should be done</a:t>
          </a:r>
          <a:endParaRPr lang="en-IN"/>
        </a:p>
        <a:p>
          <a:r>
            <a:rPr lang="en-IN"/>
            <a:t>Limit COD for:</a:t>
          </a:r>
        </a:p>
        <a:p>
          <a:pPr lvl="1"/>
          <a:r>
            <a:rPr lang="en-IN"/>
            <a:t>- New customers</a:t>
          </a:r>
        </a:p>
        <a:p>
          <a:pPr lvl="1"/>
          <a:r>
            <a:rPr lang="en-IN"/>
            <a:t>- Instagram Shop orders</a:t>
          </a:r>
        </a:p>
        <a:p>
          <a:r>
            <a:rPr lang="en-IN"/>
            <a:t>Push prepaid payments using:</a:t>
          </a:r>
        </a:p>
        <a:p>
          <a:pPr lvl="1"/>
          <a:r>
            <a:rPr lang="en-IN"/>
            <a:t>-</a:t>
          </a:r>
          <a:r>
            <a:rPr lang="en-IN" baseline="0"/>
            <a:t> </a:t>
          </a:r>
          <a:r>
            <a:rPr lang="en-IN"/>
            <a:t>Small discounts</a:t>
          </a:r>
        </a:p>
        <a:p>
          <a:pPr lvl="1"/>
          <a:r>
            <a:rPr lang="en-IN"/>
            <a:t>- Faster delivery messages</a:t>
          </a:r>
        </a:p>
        <a:p>
          <a:r>
            <a:rPr lang="en-IN" b="1"/>
            <a:t>Why</a:t>
          </a:r>
          <a:endParaRPr lang="en-IN"/>
        </a:p>
        <a:p>
          <a:r>
            <a:rPr lang="en-IN"/>
            <a:t>COD creates high reverse logistics cost.</a:t>
          </a:r>
        </a:p>
        <a:p>
          <a:r>
            <a:rPr lang="en-IN"/>
            <a:t>Many COD orders fail at delivery.</a:t>
          </a:r>
        </a:p>
        <a:p>
          <a:r>
            <a:rPr lang="en-IN" b="1"/>
            <a:t>Expected impact</a:t>
          </a:r>
          <a:endParaRPr lang="en-IN"/>
        </a:p>
        <a:p>
          <a:r>
            <a:rPr lang="en-IN"/>
            <a:t>Fewer failed deliveries.</a:t>
          </a:r>
        </a:p>
        <a:p>
          <a:r>
            <a:rPr lang="en-IN"/>
            <a:t>Lower operational cost.</a:t>
          </a:r>
        </a:p>
        <a:p>
          <a:r>
            <a:rPr lang="en-IN"/>
            <a:t>Better cash flow.</a:t>
          </a:r>
        </a:p>
        <a:p>
          <a:endParaRPr lang="en-IN"/>
        </a:p>
        <a:p>
          <a:r>
            <a:rPr lang="en-IN" b="1"/>
            <a:t>Q3. Why are customers returning products?</a:t>
          </a:r>
        </a:p>
        <a:p>
          <a:r>
            <a:rPr lang="en-IN" b="1"/>
            <a:t>Answer:</a:t>
          </a:r>
          <a:br>
            <a:rPr lang="en-IN"/>
          </a:br>
          <a:r>
            <a:rPr lang="en-IN"/>
            <a:t>The biggest reason for returns is </a:t>
          </a:r>
          <a:r>
            <a:rPr lang="en-IN" b="1"/>
            <a:t>size-related issues</a:t>
          </a:r>
          <a:r>
            <a:rPr lang="en-IN"/>
            <a:t>.</a:t>
          </a:r>
        </a:p>
        <a:p>
          <a:r>
            <a:rPr lang="en-IN"/>
            <a:t>Size issues cause </a:t>
          </a:r>
          <a:r>
            <a:rPr lang="en-IN" b="1"/>
            <a:t>about 37% of all returns</a:t>
          </a:r>
          <a:endParaRPr lang="en-IN"/>
        </a:p>
        <a:p>
          <a:r>
            <a:rPr lang="en-IN"/>
            <a:t>Apparel categories like:</a:t>
          </a:r>
        </a:p>
        <a:p>
          <a:pPr lvl="1"/>
          <a:r>
            <a:rPr lang="en-IN"/>
            <a:t>- Outerwear</a:t>
          </a:r>
        </a:p>
        <a:p>
          <a:pPr lvl="1"/>
          <a:r>
            <a:rPr lang="en-IN"/>
            <a:t>- Dresses</a:t>
          </a:r>
          <a:br>
            <a:rPr lang="en-IN"/>
          </a:br>
          <a:r>
            <a:rPr lang="en-IN"/>
            <a:t>have the highest return rates.</a:t>
          </a:r>
        </a:p>
        <a:p>
          <a:r>
            <a:rPr lang="en-IN"/>
            <a:t>This shows customers often receive products that don’t match their size expectations.</a:t>
          </a:r>
        </a:p>
        <a:p>
          <a:endParaRPr lang="en-IN"/>
        </a:p>
        <a:p>
          <a:r>
            <a:rPr lang="en-IN" b="1"/>
            <a:t>Recommendation 2: Improve size and fit information</a:t>
          </a:r>
        </a:p>
        <a:p>
          <a:r>
            <a:rPr lang="en-IN" b="1"/>
            <a:t>What should be done</a:t>
          </a:r>
          <a:endParaRPr lang="en-IN"/>
        </a:p>
        <a:p>
          <a:r>
            <a:rPr lang="en-IN"/>
            <a:t>Improve product pages with:</a:t>
          </a:r>
        </a:p>
        <a:p>
          <a:pPr lvl="1"/>
          <a:r>
            <a:rPr lang="en-IN"/>
            <a:t>Clear size charts</a:t>
          </a:r>
        </a:p>
        <a:p>
          <a:pPr lvl="1"/>
          <a:r>
            <a:rPr lang="en-IN"/>
            <a:t>Model height and size details</a:t>
          </a:r>
        </a:p>
        <a:p>
          <a:pPr lvl="1"/>
          <a:r>
            <a:rPr lang="en-IN"/>
            <a:t>Simple fit notes (tight / loose / regular)</a:t>
          </a:r>
        </a:p>
        <a:p>
          <a:pPr lvl="1"/>
          <a:r>
            <a:rPr lang="en-IN"/>
            <a:t>Customer reviews with size feedback</a:t>
          </a:r>
        </a:p>
        <a:p>
          <a:r>
            <a:rPr lang="en-IN" b="1"/>
            <a:t>Why</a:t>
          </a:r>
          <a:endParaRPr lang="en-IN"/>
        </a:p>
        <a:p>
          <a:r>
            <a:rPr lang="en-IN"/>
            <a:t>Many size-related returns are avoidable</a:t>
          </a:r>
        </a:p>
        <a:p>
          <a:r>
            <a:rPr lang="en-IN"/>
            <a:t>Better information helps customers choose correctly</a:t>
          </a:r>
        </a:p>
        <a:p>
          <a:r>
            <a:rPr lang="en-IN" b="1"/>
            <a:t>Expected impact</a:t>
          </a:r>
          <a:endParaRPr lang="en-IN"/>
        </a:p>
        <a:p>
          <a:r>
            <a:rPr lang="en-IN"/>
            <a:t>Lower return rate</a:t>
          </a:r>
        </a:p>
        <a:p>
          <a:r>
            <a:rPr lang="en-IN"/>
            <a:t>Better customer experience</a:t>
          </a:r>
        </a:p>
        <a:p>
          <a:r>
            <a:rPr lang="en-IN"/>
            <a:t>No negative impact on sales</a:t>
          </a:r>
        </a:p>
        <a:p>
          <a:endParaRPr lang="en-IN"/>
        </a:p>
        <a:p>
          <a:r>
            <a:rPr lang="en-IN" b="1"/>
            <a:t>Q4. Which customers and channels are the most risky?</a:t>
          </a:r>
        </a:p>
        <a:p>
          <a:r>
            <a:rPr lang="en-IN" b="1"/>
            <a:t>Answer:</a:t>
          </a:r>
          <a:br>
            <a:rPr lang="en-IN"/>
          </a:br>
          <a:r>
            <a:rPr lang="en-IN"/>
            <a:t>The highest return rates come from </a:t>
          </a:r>
          <a:r>
            <a:rPr lang="en-IN" b="1"/>
            <a:t>new customers ordering via Instagram Shop</a:t>
          </a:r>
          <a:r>
            <a:rPr lang="en-IN"/>
            <a:t>.</a:t>
          </a:r>
        </a:p>
        <a:p>
          <a:r>
            <a:rPr lang="en-IN"/>
            <a:t>New Instagram customers return the most</a:t>
          </a:r>
        </a:p>
        <a:p>
          <a:r>
            <a:rPr lang="en-IN"/>
            <a:t>Website customers have the lowest return rates</a:t>
          </a:r>
        </a:p>
        <a:p>
          <a:r>
            <a:rPr lang="en-IN"/>
            <a:t>Mobile App customers show stable behavior</a:t>
          </a:r>
        </a:p>
        <a:p>
          <a:r>
            <a:rPr lang="en-IN"/>
            <a:t>This shows that social media brings volume, but not always high-quality orders.</a:t>
          </a:r>
        </a:p>
        <a:p>
          <a:endParaRPr lang="en-IN"/>
        </a:p>
        <a:p>
          <a:r>
            <a:rPr lang="en-IN" b="1"/>
            <a:t>Recommendation 3: Improve customer acquisition quality</a:t>
          </a:r>
        </a:p>
        <a:p>
          <a:r>
            <a:rPr lang="en-IN" b="1"/>
            <a:t>What should be done</a:t>
          </a:r>
          <a:endParaRPr lang="en-IN"/>
        </a:p>
        <a:p>
          <a:r>
            <a:rPr lang="en-IN"/>
            <a:t>Review Instagram Shop traffic quality</a:t>
          </a:r>
        </a:p>
        <a:p>
          <a:r>
            <a:rPr lang="en-IN"/>
            <a:t>Apply stricter rules for:</a:t>
          </a:r>
        </a:p>
        <a:p>
          <a:pPr lvl="1"/>
          <a:r>
            <a:rPr lang="en-IN"/>
            <a:t>- New users</a:t>
          </a:r>
        </a:p>
        <a:p>
          <a:pPr lvl="1"/>
          <a:r>
            <a:rPr lang="en-IN"/>
            <a:t>- COD orders on social channels</a:t>
          </a:r>
        </a:p>
        <a:p>
          <a:r>
            <a:rPr lang="en-IN"/>
            <a:t>Focus more on:</a:t>
          </a:r>
        </a:p>
        <a:p>
          <a:pPr lvl="1"/>
          <a:r>
            <a:rPr lang="en-IN"/>
            <a:t>- Website</a:t>
          </a:r>
        </a:p>
        <a:p>
          <a:pPr lvl="1"/>
          <a:r>
            <a:rPr lang="en-IN"/>
            <a:t>- Mobile App</a:t>
          </a:r>
        </a:p>
        <a:p>
          <a:r>
            <a:rPr lang="en-IN" b="1"/>
            <a:t>Why</a:t>
          </a:r>
          <a:endParaRPr lang="en-IN"/>
        </a:p>
        <a:p>
          <a:r>
            <a:rPr lang="en-IN"/>
            <a:t>High-return customers increase cost without real value</a:t>
          </a:r>
        </a:p>
        <a:p>
          <a:r>
            <a:rPr lang="en-IN"/>
            <a:t>Website and App users show better purchase intent</a:t>
          </a:r>
        </a:p>
        <a:p>
          <a:r>
            <a:rPr lang="en-IN" b="1"/>
            <a:t>Expected impact</a:t>
          </a:r>
          <a:endParaRPr lang="en-IN"/>
        </a:p>
        <a:p>
          <a:r>
            <a:rPr lang="en-IN"/>
            <a:t>Better order quality</a:t>
          </a:r>
        </a:p>
        <a:p>
          <a:r>
            <a:rPr lang="en-IN"/>
            <a:t>More sustainable growth</a:t>
          </a:r>
        </a:p>
        <a:p>
          <a:r>
            <a:rPr lang="en-IN"/>
            <a:t>Reduced pressure on operations</a:t>
          </a:r>
        </a:p>
        <a:p>
          <a:endParaRPr lang="en-IN"/>
        </a:p>
        <a:p>
          <a:r>
            <a:rPr lang="en-IN" b="1"/>
            <a:t>Q5. How do returning customers behave?</a:t>
          </a:r>
        </a:p>
        <a:p>
          <a:r>
            <a:rPr lang="en-IN" b="1"/>
            <a:t>Answer:</a:t>
          </a:r>
          <a:br>
            <a:rPr lang="en-IN"/>
          </a:br>
          <a:r>
            <a:rPr lang="en-IN"/>
            <a:t>Returning customers perform better than new customers.</a:t>
          </a:r>
        </a:p>
        <a:p>
          <a:r>
            <a:rPr lang="en-IN"/>
            <a:t>Lower return rate (</a:t>
          </a:r>
          <a:r>
            <a:rPr lang="en-IN" b="1"/>
            <a:t>44%</a:t>
          </a:r>
          <a:r>
            <a:rPr lang="en-IN"/>
            <a:t>)</a:t>
          </a:r>
        </a:p>
        <a:p>
          <a:r>
            <a:rPr lang="en-IN"/>
            <a:t>Higher AOV</a:t>
          </a:r>
        </a:p>
        <a:p>
          <a:r>
            <a:rPr lang="en-IN"/>
            <a:t>Better understanding of the brand and products</a:t>
          </a:r>
        </a:p>
        <a:p>
          <a:endParaRPr lang="en-IN"/>
        </a:p>
        <a:p>
          <a:r>
            <a:rPr lang="en-IN" b="1"/>
            <a:t>Recommendation 4: Use returning customers as a benchmark</a:t>
          </a:r>
        </a:p>
        <a:p>
          <a:r>
            <a:rPr lang="en-IN" b="1"/>
            <a:t>What should be done</a:t>
          </a:r>
          <a:endParaRPr lang="en-IN"/>
        </a:p>
        <a:p>
          <a:r>
            <a:rPr lang="en-IN"/>
            <a:t>Use returning customers as a quality benchmark</a:t>
          </a:r>
        </a:p>
        <a:p>
          <a:r>
            <a:rPr lang="en-IN"/>
            <a:t>Compare new campaigns and channels against this group</a:t>
          </a:r>
        </a:p>
        <a:p>
          <a:r>
            <a:rPr lang="en-IN" b="1"/>
            <a:t>Why</a:t>
          </a:r>
          <a:endParaRPr lang="en-IN"/>
        </a:p>
        <a:p>
          <a:r>
            <a:rPr lang="en-IN"/>
            <a:t>Helps identify low-quality acquisition early</a:t>
          </a:r>
        </a:p>
        <a:p>
          <a:r>
            <a:rPr lang="en-IN"/>
            <a:t>Supports better targeting decisions</a:t>
          </a:r>
        </a:p>
        <a:p>
          <a:r>
            <a:rPr lang="en-IN" b="1"/>
            <a:t>Expected impact</a:t>
          </a:r>
          <a:endParaRPr lang="en-IN"/>
        </a:p>
        <a:p>
          <a:r>
            <a:rPr lang="en-IN"/>
            <a:t>Improved marketing efficiency</a:t>
          </a:r>
        </a:p>
        <a:p>
          <a:r>
            <a:rPr lang="en-IN"/>
            <a:t>Stronger long-term customer base</a:t>
          </a:r>
        </a:p>
        <a:p>
          <a:endParaRPr lang="en-IN"/>
        </a:p>
        <a:p>
          <a:endParaRPr lang="en-IN"/>
        </a:p>
        <a:p>
          <a:endParaRPr lang="en-IN"/>
        </a:p>
        <a:p>
          <a:endParaRPr lang="en-IN"/>
        </a:p>
        <a:p>
          <a:endParaRPr lang="en-IN"/>
        </a:p>
        <a:p>
          <a:endParaRPr lang="en-IN" sz="1100"/>
        </a:p>
      </xdr:txBody>
    </xdr:sp>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 refreshedDate="46058.57510775463" backgroundQuery="1" createdVersion="8" refreshedVersion="8" minRefreshableVersion="3" recordCount="0" supportSubquery="1" supportAdvancedDrill="1" xr:uid="{2B671ABC-5BA0-4187-A83F-F87613E653A4}">
  <cacheSource type="external" connectionId="2"/>
  <cacheFields count="3">
    <cacheField name="[urbanthreads_q4].[valid_quantity_flag].[valid_quantity_flag]" caption="valid_quantity_flag" numFmtId="0" hierarchy="23" level="1">
      <sharedItems count="1">
        <s v="Valid"/>
      </sharedItems>
    </cacheField>
    <cacheField name="[Measures].[Count of Order ID]" caption="Count of Order ID" numFmtId="0" hierarchy="29" level="32767"/>
    <cacheField name="[urbanthreads_q4].[Status].[Status]" caption="Status" numFmtId="0" hierarchy="18" level="1">
      <sharedItems count="1">
        <s v="Delivered"/>
      </sharedItems>
    </cacheField>
  </cacheFields>
  <cacheHierarchies count="30">
    <cacheHierarchy uniqueName="[urbanthreads_q4].[Order ID]" caption="Order ID" attribute="1" defaultMemberUniqueName="[urbanthreads_q4].[Order ID].[All]" allUniqueName="[urbanthreads_q4].[Order ID].[All]" dimensionUniqueName="[urbanthreads_q4]" displayFolder="" count="0" memberValueDatatype="130" unbalanced="0"/>
    <cacheHierarchy uniqueName="[urbanthreads_q4].[Order Date]" caption="Order Date" attribute="1" time="1" defaultMemberUniqueName="[urbanthreads_q4].[Order Date].[All]" allUniqueName="[urbanthreads_q4].[Order Date].[All]" dimensionUniqueName="[urbanthreads_q4]" displayFolder="" count="0" memberValueDatatype="7" unbalanced="0"/>
    <cacheHierarchy uniqueName="[urbanthreads_q4].[Customer ID]" caption="Customer ID" attribute="1" defaultMemberUniqueName="[urbanthreads_q4].[Customer ID].[All]" allUniqueName="[urbanthreads_q4].[Customer ID].[All]" dimensionUniqueName="[urbanthreads_q4]" displayFolder="" count="0" memberValueDatatype="130" unbalanced="0"/>
    <cacheHierarchy uniqueName="[urbanthreads_q4].[Type]" caption="Type" attribute="1" defaultMemberUniqueName="[urbanthreads_q4].[Type].[All]" allUniqueName="[urbanthreads_q4].[Type].[All]" dimensionUniqueName="[urbanthreads_q4]" displayFolder="" count="0" memberValueDatatype="130" unbalanced="0"/>
    <cacheHierarchy uniqueName="[urbanthreads_q4].[SKU]" caption="SKU" attribute="1" defaultMemberUniqueName="[urbanthreads_q4].[SKU].[All]" allUniqueName="[urbanthreads_q4].[SKU].[All]" dimensionUniqueName="[urbanthreads_q4]" displayFolder="" count="0" memberValueDatatype="130" unbalanced="0"/>
    <cacheHierarchy uniqueName="[urbanthreads_q4].[Category]" caption="Category" attribute="1" defaultMemberUniqueName="[urbanthreads_q4].[Category].[All]" allUniqueName="[urbanthreads_q4].[Category].[All]" dimensionUniqueName="[urbanthreads_q4]" displayFolder="" count="0" memberValueDatatype="130" unbalanced="0"/>
    <cacheHierarchy uniqueName="[urbanthreads_q4].[Product Name]" caption="Product Name" attribute="1" defaultMemberUniqueName="[urbanthreads_q4].[Product Name].[All]" allUniqueName="[urbanthreads_q4].[Product Name].[All]" dimensionUniqueName="[urbanthreads_q4]" displayFolder="" count="0" memberValueDatatype="130" unbalanced="0"/>
    <cacheHierarchy uniqueName="[urbanthreads_q4].[Unit Price]" caption="Unit Price" attribute="1" defaultMemberUniqueName="[urbanthreads_q4].[Unit Price].[All]" allUniqueName="[urbanthreads_q4].[Unit Price].[All]" dimensionUniqueName="[urbanthreads_q4]" displayFolder="" count="0" memberValueDatatype="20" unbalanced="0"/>
    <cacheHierarchy uniqueName="[urbanthreads_q4].[Qty]" caption="Qty" attribute="1" defaultMemberUniqueName="[urbanthreads_q4].[Qty].[All]" allUniqueName="[urbanthreads_q4].[Qty].[All]" dimensionUniqueName="[urbanthreads_q4]" displayFolder="" count="0" memberValueDatatype="20" unbalanced="0"/>
    <cacheHierarchy uniqueName="[urbanthreads_q4].[Total]" caption="Total" attribute="1" defaultMemberUniqueName="[urbanthreads_q4].[Total].[All]" allUniqueName="[urbanthreads_q4].[Total].[All]" dimensionUniqueName="[urbanthreads_q4]" displayFolder="" count="0" memberValueDatatype="20" unbalanced="0"/>
    <cacheHierarchy uniqueName="[urbanthreads_q4].[Discount Code]" caption="Discount Code" attribute="1" defaultMemberUniqueName="[urbanthreads_q4].[Discount Code].[All]" allUniqueName="[urbanthreads_q4].[Discount Code].[All]" dimensionUniqueName="[urbanthreads_q4]" displayFolder="" count="0" memberValueDatatype="130" unbalanced="0"/>
    <cacheHierarchy uniqueName="[urbanthreads_q4].[Disc %]" caption="Disc %" attribute="1" defaultMemberUniqueName="[urbanthreads_q4].[Disc %].[All]" allUniqueName="[urbanthreads_q4].[Disc %].[All]" dimensionUniqueName="[urbanthreads_q4]" displayFolder="" count="0" memberValueDatatype="20" unbalanced="0"/>
    <cacheHierarchy uniqueName="[urbanthreads_q4].[Payment]" caption="Payment" attribute="1" defaultMemberUniqueName="[urbanthreads_q4].[Payment].[All]" allUniqueName="[urbanthreads_q4].[Payment].[All]" dimensionUniqueName="[urbanthreads_q4]" displayFolder="" count="0" memberValueDatatype="130" unbalanced="0"/>
    <cacheHierarchy uniqueName="[urbanthreads_q4].[Source]" caption="Source" attribute="1" defaultMemberUniqueName="[urbanthreads_q4].[Source].[All]" allUniqueName="[urbanthreads_q4].[Source].[All]" dimensionUniqueName="[urbanthreads_q4]" displayFolder="" count="0" memberValueDatatype="130" unbalanced="0"/>
    <cacheHierarchy uniqueName="[urbanthreads_q4].[City]" caption="City" attribute="1" defaultMemberUniqueName="[urbanthreads_q4].[City].[All]" allUniqueName="[urbanthreads_q4].[City].[All]" dimensionUniqueName="[urbanthreads_q4]" displayFolder="" count="0" memberValueDatatype="130" unbalanced="0"/>
    <cacheHierarchy uniqueName="[urbanthreads_q4].[State]" caption="State" attribute="1" defaultMemberUniqueName="[urbanthreads_q4].[State].[All]" allUniqueName="[urbanthreads_q4].[State].[All]" dimensionUniqueName="[urbanthreads_q4]" displayFolder="" count="0" memberValueDatatype="130" unbalanced="0"/>
    <cacheHierarchy uniqueName="[urbanthreads_q4].[Warehouse]" caption="Warehouse" attribute="1" defaultMemberUniqueName="[urbanthreads_q4].[Warehouse].[All]" allUniqueName="[urbanthreads_q4].[Warehouse].[All]" dimensionUniqueName="[urbanthreads_q4]" displayFolder="" count="0" memberValueDatatype="130" unbalanced="0"/>
    <cacheHierarchy uniqueName="[urbanthreads_q4].[Del Date]" caption="Del Date" attribute="1" time="1" defaultMemberUniqueName="[urbanthreads_q4].[Del Date].[All]" allUniqueName="[urbanthreads_q4].[Del Date].[All]" dimensionUniqueName="[urbanthreads_q4]" displayFolder="" count="0" memberValueDatatype="7" unbalanced="0"/>
    <cacheHierarchy uniqueName="[urbanthreads_q4].[Status]" caption="Status" attribute="1" defaultMemberUniqueName="[urbanthreads_q4].[Status].[All]" allUniqueName="[urbanthreads_q4].[Status].[All]" dimensionUniqueName="[urbanthreads_q4]" displayFolder="" count="2" memberValueDatatype="130" unbalanced="0">
      <fieldsUsage count="2">
        <fieldUsage x="-1"/>
        <fieldUsage x="2"/>
      </fieldsUsage>
    </cacheHierarchy>
    <cacheHierarchy uniqueName="[urbanthreads_q4].[Return?]" caption="Return?" attribute="1" defaultMemberUniqueName="[urbanthreads_q4].[Return?].[All]" allUniqueName="[urbanthreads_q4].[Return?].[All]" dimensionUniqueName="[urbanthreads_q4]" displayFolder="" count="0" memberValueDatatype="130" unbalanced="0"/>
    <cacheHierarchy uniqueName="[urbanthreads_q4].[Reason]" caption="Reason" attribute="1" defaultMemberUniqueName="[urbanthreads_q4].[Reason].[All]" allUniqueName="[urbanthreads_q4].[Reason].[All]" dimensionUniqueName="[urbanthreads_q4]" displayFolder="" count="0" memberValueDatatype="130" unbalanced="0"/>
    <cacheHierarchy uniqueName="[urbanthreads_q4].[Ret Rec]" caption="Ret Rec" attribute="1" time="1" defaultMemberUniqueName="[urbanthreads_q4].[Ret Rec].[All]" allUniqueName="[urbanthreads_q4].[Ret Rec].[All]" dimensionUniqueName="[urbanthreads_q4]" displayFolder="" count="0" memberValueDatatype="7" unbalanced="0"/>
    <cacheHierarchy uniqueName="[urbanthreads_q4].[Refund]" caption="Refund" attribute="1" defaultMemberUniqueName="[urbanthreads_q4].[Refund].[All]" allUniqueName="[urbanthreads_q4].[Refund].[All]" dimensionUniqueName="[urbanthreads_q4]" displayFolder="" count="0" memberValueDatatype="130" unbalanced="0"/>
    <cacheHierarchy uniqueName="[urbanthreads_q4].[valid_quantity_flag]" caption="valid_quantity_flag" attribute="1" defaultMemberUniqueName="[urbanthreads_q4].[valid_quantity_flag].[All]" allUniqueName="[urbanthreads_q4].[valid_quantity_flag].[All]" dimensionUniqueName="[urbanthreads_q4]" displayFolder="" count="2" memberValueDatatype="130" unbalanced="0">
      <fieldsUsage count="2">
        <fieldUsage x="-1"/>
        <fieldUsage x="0"/>
      </fieldsUsage>
    </cacheHierarchy>
    <cacheHierarchy uniqueName="[urbanthreads_q4].[Discount_amount]" caption="Discount_amount" attribute="1" defaultMemberUniqueName="[urbanthreads_q4].[Discount_amount].[All]" allUniqueName="[urbanthreads_q4].[Discount_amount].[All]" dimensionUniqueName="[urbanthreads_q4]" displayFolder="" count="0" memberValueDatatype="5" unbalanced="0"/>
    <cacheHierarchy uniqueName="[urbanthreads_q4].[Net revenue]" caption="Net revenue" attribute="1" defaultMemberUniqueName="[urbanthreads_q4].[Net revenue].[All]" allUniqueName="[urbanthreads_q4].[Net revenue].[All]" dimensionUniqueName="[urbanthreads_q4]" displayFolder="" count="0" memberValueDatatype="20" unbalanced="0"/>
    <cacheHierarchy uniqueName="[Measures].[__XL_Count urbanthreads_q4]" caption="__XL_Count urbanthreads_q4" measure="1" displayFolder="" measureGroup="urbanthreads_q4" count="0" hidden="1"/>
    <cacheHierarchy uniqueName="[Measures].[__No measures defined]" caption="__No measures defined" measure="1" displayFolder="" count="0" hidden="1"/>
    <cacheHierarchy uniqueName="[Measures].[Sum of Discount_amount]" caption="Sum of Discount_amount" measure="1" displayFolder="" measureGroup="urbanthreads_q4"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urbanthreads_q4"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urbanthreads_q4" uniqueName="[urbanthreads_q4]" caption="urbanthreads_q4"/>
  </dimensions>
  <measureGroups count="1">
    <measureGroup name="urbanthreads_q4" caption="urbanthreads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 refreshedDate="46058.575247106484" backgroundQuery="1" createdVersion="8" refreshedVersion="8" minRefreshableVersion="3" recordCount="0" supportSubquery="1" supportAdvancedDrill="1" xr:uid="{1E4B1D26-3273-412D-8CF2-AE74D209639A}">
  <cacheSource type="external" connectionId="2"/>
  <cacheFields count="2">
    <cacheField name="[Measures].[Sum of Discount_amount]" caption="Sum of Discount_amount" numFmtId="0" hierarchy="28" level="32767"/>
    <cacheField name="[urbanthreads_q4].[valid_quantity_flag].[valid_quantity_flag]" caption="valid_quantity_flag" numFmtId="0" hierarchy="23" level="1">
      <sharedItems count="1">
        <s v="Valid"/>
      </sharedItems>
    </cacheField>
  </cacheFields>
  <cacheHierarchies count="30">
    <cacheHierarchy uniqueName="[urbanthreads_q4].[Order ID]" caption="Order ID" attribute="1" defaultMemberUniqueName="[urbanthreads_q4].[Order ID].[All]" allUniqueName="[urbanthreads_q4].[Order ID].[All]" dimensionUniqueName="[urbanthreads_q4]" displayFolder="" count="0" memberValueDatatype="130" unbalanced="0"/>
    <cacheHierarchy uniqueName="[urbanthreads_q4].[Order Date]" caption="Order Date" attribute="1" time="1" defaultMemberUniqueName="[urbanthreads_q4].[Order Date].[All]" allUniqueName="[urbanthreads_q4].[Order Date].[All]" dimensionUniqueName="[urbanthreads_q4]" displayFolder="" count="0" memberValueDatatype="7" unbalanced="0"/>
    <cacheHierarchy uniqueName="[urbanthreads_q4].[Customer ID]" caption="Customer ID" attribute="1" defaultMemberUniqueName="[urbanthreads_q4].[Customer ID].[All]" allUniqueName="[urbanthreads_q4].[Customer ID].[All]" dimensionUniqueName="[urbanthreads_q4]" displayFolder="" count="0" memberValueDatatype="130" unbalanced="0"/>
    <cacheHierarchy uniqueName="[urbanthreads_q4].[Type]" caption="Type" attribute="1" defaultMemberUniqueName="[urbanthreads_q4].[Type].[All]" allUniqueName="[urbanthreads_q4].[Type].[All]" dimensionUniqueName="[urbanthreads_q4]" displayFolder="" count="0" memberValueDatatype="130" unbalanced="0"/>
    <cacheHierarchy uniqueName="[urbanthreads_q4].[SKU]" caption="SKU" attribute="1" defaultMemberUniqueName="[urbanthreads_q4].[SKU].[All]" allUniqueName="[urbanthreads_q4].[SKU].[All]" dimensionUniqueName="[urbanthreads_q4]" displayFolder="" count="0" memberValueDatatype="130" unbalanced="0"/>
    <cacheHierarchy uniqueName="[urbanthreads_q4].[Category]" caption="Category" attribute="1" defaultMemberUniqueName="[urbanthreads_q4].[Category].[All]" allUniqueName="[urbanthreads_q4].[Category].[All]" dimensionUniqueName="[urbanthreads_q4]" displayFolder="" count="0" memberValueDatatype="130" unbalanced="0"/>
    <cacheHierarchy uniqueName="[urbanthreads_q4].[Product Name]" caption="Product Name" attribute="1" defaultMemberUniqueName="[urbanthreads_q4].[Product Name].[All]" allUniqueName="[urbanthreads_q4].[Product Name].[All]" dimensionUniqueName="[urbanthreads_q4]" displayFolder="" count="0" memberValueDatatype="130" unbalanced="0"/>
    <cacheHierarchy uniqueName="[urbanthreads_q4].[Unit Price]" caption="Unit Price" attribute="1" defaultMemberUniqueName="[urbanthreads_q4].[Unit Price].[All]" allUniqueName="[urbanthreads_q4].[Unit Price].[All]" dimensionUniqueName="[urbanthreads_q4]" displayFolder="" count="0" memberValueDatatype="20" unbalanced="0"/>
    <cacheHierarchy uniqueName="[urbanthreads_q4].[Qty]" caption="Qty" attribute="1" defaultMemberUniqueName="[urbanthreads_q4].[Qty].[All]" allUniqueName="[urbanthreads_q4].[Qty].[All]" dimensionUniqueName="[urbanthreads_q4]" displayFolder="" count="0" memberValueDatatype="20" unbalanced="0"/>
    <cacheHierarchy uniqueName="[urbanthreads_q4].[Total]" caption="Total" attribute="1" defaultMemberUniqueName="[urbanthreads_q4].[Total].[All]" allUniqueName="[urbanthreads_q4].[Total].[All]" dimensionUniqueName="[urbanthreads_q4]" displayFolder="" count="0" memberValueDatatype="20" unbalanced="0"/>
    <cacheHierarchy uniqueName="[urbanthreads_q4].[Discount Code]" caption="Discount Code" attribute="1" defaultMemberUniqueName="[urbanthreads_q4].[Discount Code].[All]" allUniqueName="[urbanthreads_q4].[Discount Code].[All]" dimensionUniqueName="[urbanthreads_q4]" displayFolder="" count="0" memberValueDatatype="130" unbalanced="0"/>
    <cacheHierarchy uniqueName="[urbanthreads_q4].[Disc %]" caption="Disc %" attribute="1" defaultMemberUniqueName="[urbanthreads_q4].[Disc %].[All]" allUniqueName="[urbanthreads_q4].[Disc %].[All]" dimensionUniqueName="[urbanthreads_q4]" displayFolder="" count="0" memberValueDatatype="20" unbalanced="0"/>
    <cacheHierarchy uniqueName="[urbanthreads_q4].[Payment]" caption="Payment" attribute="1" defaultMemberUniqueName="[urbanthreads_q4].[Payment].[All]" allUniqueName="[urbanthreads_q4].[Payment].[All]" dimensionUniqueName="[urbanthreads_q4]" displayFolder="" count="0" memberValueDatatype="130" unbalanced="0"/>
    <cacheHierarchy uniqueName="[urbanthreads_q4].[Source]" caption="Source" attribute="1" defaultMemberUniqueName="[urbanthreads_q4].[Source].[All]" allUniqueName="[urbanthreads_q4].[Source].[All]" dimensionUniqueName="[urbanthreads_q4]" displayFolder="" count="0" memberValueDatatype="130" unbalanced="0"/>
    <cacheHierarchy uniqueName="[urbanthreads_q4].[City]" caption="City" attribute="1" defaultMemberUniqueName="[urbanthreads_q4].[City].[All]" allUniqueName="[urbanthreads_q4].[City].[All]" dimensionUniqueName="[urbanthreads_q4]" displayFolder="" count="0" memberValueDatatype="130" unbalanced="0"/>
    <cacheHierarchy uniqueName="[urbanthreads_q4].[State]" caption="State" attribute="1" defaultMemberUniqueName="[urbanthreads_q4].[State].[All]" allUniqueName="[urbanthreads_q4].[State].[All]" dimensionUniqueName="[urbanthreads_q4]" displayFolder="" count="0" memberValueDatatype="130" unbalanced="0"/>
    <cacheHierarchy uniqueName="[urbanthreads_q4].[Warehouse]" caption="Warehouse" attribute="1" defaultMemberUniqueName="[urbanthreads_q4].[Warehouse].[All]" allUniqueName="[urbanthreads_q4].[Warehouse].[All]" dimensionUniqueName="[urbanthreads_q4]" displayFolder="" count="0" memberValueDatatype="130" unbalanced="0"/>
    <cacheHierarchy uniqueName="[urbanthreads_q4].[Del Date]" caption="Del Date" attribute="1" time="1" defaultMemberUniqueName="[urbanthreads_q4].[Del Date].[All]" allUniqueName="[urbanthreads_q4].[Del Date].[All]" dimensionUniqueName="[urbanthreads_q4]" displayFolder="" count="0" memberValueDatatype="7" unbalanced="0"/>
    <cacheHierarchy uniqueName="[urbanthreads_q4].[Status]" caption="Status" attribute="1" defaultMemberUniqueName="[urbanthreads_q4].[Status].[All]" allUniqueName="[urbanthreads_q4].[Status].[All]" dimensionUniqueName="[urbanthreads_q4]" displayFolder="" count="0" memberValueDatatype="130" unbalanced="0"/>
    <cacheHierarchy uniqueName="[urbanthreads_q4].[Return?]" caption="Return?" attribute="1" defaultMemberUniqueName="[urbanthreads_q4].[Return?].[All]" allUniqueName="[urbanthreads_q4].[Return?].[All]" dimensionUniqueName="[urbanthreads_q4]" displayFolder="" count="0" memberValueDatatype="130" unbalanced="0"/>
    <cacheHierarchy uniqueName="[urbanthreads_q4].[Reason]" caption="Reason" attribute="1" defaultMemberUniqueName="[urbanthreads_q4].[Reason].[All]" allUniqueName="[urbanthreads_q4].[Reason].[All]" dimensionUniqueName="[urbanthreads_q4]" displayFolder="" count="0" memberValueDatatype="130" unbalanced="0"/>
    <cacheHierarchy uniqueName="[urbanthreads_q4].[Ret Rec]" caption="Ret Rec" attribute="1" time="1" defaultMemberUniqueName="[urbanthreads_q4].[Ret Rec].[All]" allUniqueName="[urbanthreads_q4].[Ret Rec].[All]" dimensionUniqueName="[urbanthreads_q4]" displayFolder="" count="0" memberValueDatatype="7" unbalanced="0"/>
    <cacheHierarchy uniqueName="[urbanthreads_q4].[Refund]" caption="Refund" attribute="1" defaultMemberUniqueName="[urbanthreads_q4].[Refund].[All]" allUniqueName="[urbanthreads_q4].[Refund].[All]" dimensionUniqueName="[urbanthreads_q4]" displayFolder="" count="0" memberValueDatatype="130" unbalanced="0"/>
    <cacheHierarchy uniqueName="[urbanthreads_q4].[valid_quantity_flag]" caption="valid_quantity_flag" attribute="1" defaultMemberUniqueName="[urbanthreads_q4].[valid_quantity_flag].[All]" allUniqueName="[urbanthreads_q4].[valid_quantity_flag].[All]" dimensionUniqueName="[urbanthreads_q4]" displayFolder="" count="2" memberValueDatatype="130" unbalanced="0">
      <fieldsUsage count="2">
        <fieldUsage x="-1"/>
        <fieldUsage x="1"/>
      </fieldsUsage>
    </cacheHierarchy>
    <cacheHierarchy uniqueName="[urbanthreads_q4].[Discount_amount]" caption="Discount_amount" attribute="1" defaultMemberUniqueName="[urbanthreads_q4].[Discount_amount].[All]" allUniqueName="[urbanthreads_q4].[Discount_amount].[All]" dimensionUniqueName="[urbanthreads_q4]" displayFolder="" count="0" memberValueDatatype="5" unbalanced="0"/>
    <cacheHierarchy uniqueName="[urbanthreads_q4].[Net revenue]" caption="Net revenue" attribute="1" defaultMemberUniqueName="[urbanthreads_q4].[Net revenue].[All]" allUniqueName="[urbanthreads_q4].[Net revenue].[All]" dimensionUniqueName="[urbanthreads_q4]" displayFolder="" count="0" memberValueDatatype="20" unbalanced="0"/>
    <cacheHierarchy uniqueName="[Measures].[__XL_Count urbanthreads_q4]" caption="__XL_Count urbanthreads_q4" measure="1" displayFolder="" measureGroup="urbanthreads_q4" count="0" hidden="1"/>
    <cacheHierarchy uniqueName="[Measures].[__No measures defined]" caption="__No measures defined" measure="1" displayFolder="" count="0" hidden="1"/>
    <cacheHierarchy uniqueName="[Measures].[Sum of Discount_amount]" caption="Sum of Discount_amount" measure="1" displayFolder="" measureGroup="urbanthreads_q4"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urbanthreads_q4"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urbanthreads_q4" uniqueName="[urbanthreads_q4]" caption="urbanthreads_q4"/>
  </dimensions>
  <measureGroups count="1">
    <measureGroup name="urbanthreads_q4" caption="urbanthreads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 refreshedDate="46062.706777083331" createdVersion="8" refreshedVersion="8" minRefreshableVersion="3" recordCount="346" xr:uid="{8AD7DF09-D26F-4393-83E7-B4AC1B4F4E85}">
  <cacheSource type="worksheet">
    <worksheetSource name="urbanthreads_q4"/>
  </cacheSource>
  <cacheFields count="30">
    <cacheField name="Order ID" numFmtId="0">
      <sharedItems/>
    </cacheField>
    <cacheField name="Order Date" numFmtId="14">
      <sharedItems containsSemiMixedTypes="0" containsNonDate="0" containsDate="1" containsString="0" minDate="2024-01-10T00:00:00" maxDate="2025-01-01T00:00:00"/>
    </cacheField>
    <cacheField name="Customer ID" numFmtId="0">
      <sharedItems/>
    </cacheField>
    <cacheField name="Type" numFmtId="0">
      <sharedItems count="2">
        <s v="New"/>
        <s v="Returning"/>
      </sharedItems>
    </cacheField>
    <cacheField name="SKU" numFmtId="0">
      <sharedItems/>
    </cacheField>
    <cacheField name="Category" numFmtId="0">
      <sharedItems count="5">
        <s v="Tops"/>
        <s v="Outerwear"/>
        <s v="Bottoms"/>
        <s v="Accessories"/>
        <s v="Dresses"/>
      </sharedItems>
    </cacheField>
    <cacheField name="Product Name" numFmtId="0">
      <sharedItems/>
    </cacheField>
    <cacheField name="Unit Price" numFmtId="0">
      <sharedItems containsSemiMixedTypes="0" containsString="0" containsNumber="1" containsInteger="1" minValue="299" maxValue="8999"/>
    </cacheField>
    <cacheField name="Qty" numFmtId="0">
      <sharedItems containsSemiMixedTypes="0" containsString="0" containsNumber="1" containsInteger="1" minValue="-1" maxValue="5"/>
    </cacheField>
    <cacheField name="Total" numFmtId="0">
      <sharedItems containsSemiMixedTypes="0" containsString="0" containsNumber="1" containsInteger="1" minValue="699" maxValue="8999"/>
    </cacheField>
    <cacheField name="Discount Code" numFmtId="0">
      <sharedItems/>
    </cacheField>
    <cacheField name="Disc %" numFmtId="0">
      <sharedItems containsSemiMixedTypes="0" containsString="0" containsNumber="1" containsInteger="1" minValue="0" maxValue="40"/>
    </cacheField>
    <cacheField name="Payment" numFmtId="0">
      <sharedItems/>
    </cacheField>
    <cacheField name="Source" numFmtId="0">
      <sharedItems count="3">
        <s v="Website"/>
        <s v="Instagram Shop"/>
        <s v="Mobile App"/>
      </sharedItems>
    </cacheField>
    <cacheField name="City" numFmtId="0">
      <sharedItems/>
    </cacheField>
    <cacheField name="State" numFmtId="0">
      <sharedItems/>
    </cacheField>
    <cacheField name="Warehouse" numFmtId="0">
      <sharedItems count="3">
        <s v="Mumbai"/>
        <s v="Bangalore"/>
        <s v="Delhi"/>
      </sharedItems>
    </cacheField>
    <cacheField name="Del Date" numFmtId="14">
      <sharedItems containsNonDate="0" containsDate="1" containsString="0" containsBlank="1" minDate="2024-10-04T00:00:00" maxDate="2025-01-29T00:00:00"/>
    </cacheField>
    <cacheField name="Status" numFmtId="0">
      <sharedItems count="3">
        <s v="Delivered"/>
        <s v="Cancelled"/>
        <s v="RTO"/>
      </sharedItems>
    </cacheField>
    <cacheField name="Return?" numFmtId="0">
      <sharedItems count="2">
        <s v="No"/>
        <s v="Yes"/>
      </sharedItems>
    </cacheField>
    <cacheField name="Reason" numFmtId="0">
      <sharedItems count="6">
        <s v=""/>
        <s v="Wrong Item"/>
        <s v="Damaged in Transit"/>
        <s v="Size Issue"/>
        <s v="Changed Mind"/>
        <s v="Quality Defect"/>
      </sharedItems>
    </cacheField>
    <cacheField name="Ret Rec" numFmtId="14">
      <sharedItems containsNonDate="0" containsDate="1" containsString="0" containsBlank="1" minDate="2024-10-15T00:00:00" maxDate="2025-02-26T00:00:00" count="106">
        <m/>
        <d v="2025-02-24T00:00:00"/>
        <d v="2025-02-23T00:00:00"/>
        <d v="2025-02-25T00:00:00"/>
        <d v="2025-02-11T00:00:00"/>
        <d v="2025-02-13T00:00:00"/>
        <d v="2025-02-14T00:00:00"/>
        <d v="2025-02-15T00:00:00"/>
        <d v="2025-02-16T00:00:00"/>
        <d v="2025-02-17T00:00:00"/>
        <d v="2025-02-18T00:00:00"/>
        <d v="2025-02-19T00:00:00"/>
        <d v="2025-02-20T00:00:00"/>
        <d v="2025-02-21T00:00:00"/>
        <d v="2025-02-22T00:00:00"/>
        <d v="2025-02-01T00:00:00"/>
        <d v="2025-02-02T00:00:00"/>
        <d v="2025-02-03T00:00:00"/>
        <d v="2025-02-04T00:00:00"/>
        <d v="2025-02-05T00:00:00"/>
        <d v="2025-02-06T00:00:00"/>
        <d v="2025-02-07T00:00:00"/>
        <d v="2025-02-08T00:00:00"/>
        <d v="2025-02-09T00:00:00"/>
        <d v="2025-02-10T00:00:00"/>
        <d v="2025-02-12T00:00:00"/>
        <d v="2025-01-20T00:00:00"/>
        <d v="2025-01-19T00:00:00"/>
        <d v="2025-01-22T00:00:00"/>
        <d v="2025-01-23T00:00:00"/>
        <d v="2025-01-21T00:00:00"/>
        <d v="2025-01-24T00:00:00"/>
        <d v="2025-01-25T00:00:00"/>
        <d v="2025-01-26T00:00:00"/>
        <d v="2025-01-27T00:00:00"/>
        <d v="2025-01-28T00:00:00"/>
        <d v="2025-01-29T00:00:00"/>
        <d v="2025-01-30T00:00:00"/>
        <d v="2025-01-31T00:00:00"/>
        <d v="2025-01-02T00:00:00"/>
        <d v="2025-01-03T00:00:00"/>
        <d v="2025-01-05T00:00:00"/>
        <d v="2025-01-06T00:00:00"/>
        <d v="2025-01-08T00:00:00"/>
        <d v="2025-01-10T00:00:00"/>
        <d v="2025-01-12T00:00:00"/>
        <d v="2025-01-14T00:00:00"/>
        <d v="2025-01-15T00:00:00"/>
        <d v="2025-01-16T00:00:00"/>
        <d v="2025-01-18T00:00:00"/>
        <d v="2025-01-09T00:00:00"/>
        <d v="2025-01-11T00:00:00"/>
        <d v="2024-12-28T00:00:00"/>
        <d v="2024-12-30T00:00:00"/>
        <d v="2025-01-04T00:00:00"/>
        <d v="2025-01-07T00:00:00"/>
        <d v="2024-12-23T00:00:00"/>
        <d v="2024-12-25T00:00:00"/>
        <d v="2024-12-26T00:00:00"/>
        <d v="2024-12-24T00:00:00"/>
        <d v="2024-12-29T00:00:00"/>
        <d v="2024-12-27T00:00:00"/>
        <d v="2024-12-31T00:00:00"/>
        <d v="2024-12-16T00:00:00"/>
        <d v="2024-12-15T00:00:00"/>
        <d v="2024-12-17T00:00:00"/>
        <d v="2024-12-18T00:00:00"/>
        <d v="2024-12-20T00:00:00"/>
        <d v="2024-12-19T00:00:00"/>
        <d v="2024-12-22T00:00:00"/>
        <d v="2024-11-18T00:00:00"/>
        <d v="2024-11-20T00:00:00"/>
        <d v="2024-11-22T00:00:00"/>
        <d v="2024-11-25T00:00:00"/>
        <d v="2024-11-28T00:00:00"/>
        <d v="2024-12-01T00:00:00"/>
        <d v="2024-12-02T00:00:00"/>
        <d v="2024-11-30T00:00:00"/>
        <d v="2024-12-03T00:00:00"/>
        <d v="2024-12-05T00:00:00"/>
        <d v="2024-12-04T00:00:00"/>
        <d v="2024-12-06T00:00:00"/>
        <d v="2024-12-08T00:00:00"/>
        <d v="2024-12-07T00:00:00"/>
        <d v="2024-12-10T00:00:00"/>
        <d v="2024-12-12T00:00:00"/>
        <d v="2024-12-14T00:00:00"/>
        <d v="2024-12-13T00:00:00"/>
        <d v="2024-11-16T00:00:00"/>
        <d v="2024-11-24T00:00:00"/>
        <d v="2024-11-26T00:00:00"/>
        <d v="2024-11-10T00:00:00"/>
        <d v="2024-11-05T00:00:00"/>
        <d v="2024-11-08T00:00:00"/>
        <d v="2024-11-12T00:00:00"/>
        <d v="2024-11-15T00:00:00"/>
        <d v="2024-11-14T00:00:00"/>
        <d v="2024-10-15T00:00:00"/>
        <d v="2024-10-20T00:00:00"/>
        <d v="2024-10-18T00:00:00"/>
        <d v="2024-10-22T00:00:00"/>
        <d v="2024-10-25T00:00:00"/>
        <d v="2024-10-28T00:00:00"/>
        <d v="2024-10-26T00:00:00"/>
        <d v="2024-10-30T00:00:00"/>
        <d v="2024-11-02T00:00:00"/>
      </sharedItems>
    </cacheField>
    <cacheField name="Refund" numFmtId="0">
      <sharedItems count="3">
        <s v="Not Applicable"/>
        <s v="Processed"/>
        <s v="Pending"/>
      </sharedItems>
    </cacheField>
    <cacheField name="valid_quantity_flag" numFmtId="0">
      <sharedItems count="2">
        <s v="Valid"/>
        <s v="Invalid"/>
      </sharedItems>
    </cacheField>
    <cacheField name="Discount_amount" numFmtId="0">
      <sharedItems containsSemiMixedTypes="0" containsString="0" containsNumber="1" minValue="0" maxValue="3599.6"/>
    </cacheField>
    <cacheField name="Net revenue" numFmtId="0">
      <sharedItems containsSemiMixedTypes="0" containsString="0" containsNumber="1" containsInteger="1" minValue="699" maxValue="8979"/>
    </cacheField>
    <cacheField name="Average order value" numFmtId="0">
      <sharedItems containsSemiMixedTypes="0" containsString="0" containsNumber="1" minValue="0.94993742177722151" maxValue="1"/>
    </cacheField>
    <cacheField name="Order_month" numFmtId="0">
      <sharedItems count="4">
        <s v="10-2024"/>
        <s v="12-2024"/>
        <s v="01-2024"/>
        <s v="11-2024"/>
      </sharedItems>
    </cacheField>
    <cacheField name="Order_week" numFmtId="0">
      <sharedItems count="15">
        <s v="2024-W40"/>
        <s v="2024-W53"/>
        <s v="2024-W2"/>
        <s v="2024-W52"/>
        <s v="2024-W41"/>
        <s v="2024-W51"/>
        <s v="2024-W42"/>
        <s v="2024-W43"/>
        <s v="2024-W50"/>
        <s v="2024-W44"/>
        <s v="2024-W49"/>
        <s v="2024-W48"/>
        <s v="2024-W45"/>
        <s v="2024-W47"/>
        <s v="2024-W46"/>
      </sharedItems>
    </cacheField>
    <cacheField name="Payment Type" numFmtId="0">
      <sharedItems count="2">
        <s v="Prepaid"/>
        <s v="CO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UT-100001"/>
    <d v="2024-10-01T00:00:00"/>
    <s v="CUST_10001"/>
    <x v="0"/>
    <s v="TOP-CAS-M"/>
    <x v="0"/>
    <s v="Classic Cotton Tee"/>
    <n v="1299"/>
    <n v="2"/>
    <n v="2598"/>
    <s v=""/>
    <n v="0"/>
    <s v="UPI"/>
    <x v="0"/>
    <s v="Mumbai"/>
    <s v="Maharashtra"/>
    <x v="0"/>
    <d v="2024-10-05T00:00:00"/>
    <x v="0"/>
    <x v="0"/>
    <x v="0"/>
    <x v="0"/>
    <x v="0"/>
    <x v="0"/>
    <n v="0"/>
    <n v="2598"/>
    <n v="1"/>
    <x v="0"/>
    <x v="0"/>
    <x v="0"/>
  </r>
  <r>
    <s v="UT-100343"/>
    <d v="2024-12-30T00:00:00"/>
    <s v="CUST_10342"/>
    <x v="0"/>
    <s v="OUT-FRE-M"/>
    <x v="1"/>
    <s v="Fresh Start Jacket"/>
    <n v="4899"/>
    <n v="1"/>
    <n v="4899"/>
    <s v="Dec20"/>
    <n v="20"/>
    <s v="COD"/>
    <x v="0"/>
    <s v="Mumbai"/>
    <s v="Maharashtra"/>
    <x v="0"/>
    <d v="2025-01-27T00:00:00"/>
    <x v="0"/>
    <x v="1"/>
    <x v="1"/>
    <x v="1"/>
    <x v="1"/>
    <x v="0"/>
    <n v="979.8"/>
    <n v="4879"/>
    <n v="0.9959175341906511"/>
    <x v="1"/>
    <x v="1"/>
    <x v="1"/>
  </r>
  <r>
    <s v="UT-100003"/>
    <d v="2024-01-10T00:00:00"/>
    <s v="CUST_10003"/>
    <x v="0"/>
    <s v="BOT-JNS-L"/>
    <x v="2"/>
    <s v="Slim Fit Jeans"/>
    <n v="1899"/>
    <n v="1"/>
    <n v="1899"/>
    <s v=""/>
    <n v="0"/>
    <s v="COD"/>
    <x v="0"/>
    <s v="Bangalore"/>
    <s v="Karnataka"/>
    <x v="1"/>
    <d v="2024-10-06T00:00:00"/>
    <x v="0"/>
    <x v="0"/>
    <x v="0"/>
    <x v="0"/>
    <x v="0"/>
    <x v="0"/>
    <n v="0"/>
    <n v="1899"/>
    <n v="1"/>
    <x v="2"/>
    <x v="2"/>
    <x v="1"/>
  </r>
  <r>
    <s v="UT-100345"/>
    <d v="2024-12-30T00:00:00"/>
    <s v="CUST_10344"/>
    <x v="0"/>
    <s v="TOP-BEG-L"/>
    <x v="0"/>
    <s v="Begin Again Top"/>
    <n v="2199"/>
    <n v="1"/>
    <n v="2199"/>
    <s v=""/>
    <n v="0"/>
    <s v="Debit Card"/>
    <x v="1"/>
    <s v="Chandigarh"/>
    <s v="Punjab"/>
    <x v="2"/>
    <d v="2025-01-27T00:00:00"/>
    <x v="0"/>
    <x v="1"/>
    <x v="2"/>
    <x v="2"/>
    <x v="1"/>
    <x v="0"/>
    <n v="0"/>
    <n v="2199"/>
    <n v="1"/>
    <x v="1"/>
    <x v="1"/>
    <x v="0"/>
  </r>
  <r>
    <s v="UT-100005"/>
    <d v="2024-10-01T00:00:00"/>
    <s v="CUST_10001"/>
    <x v="0"/>
    <s v="ACC-SCF-OS"/>
    <x v="3"/>
    <s v="Silk Scarf"/>
    <n v="799"/>
    <n v="3"/>
    <n v="2397"/>
    <s v=""/>
    <n v="0"/>
    <s v="UPI"/>
    <x v="0"/>
    <s v="Mumbai"/>
    <s v="Maharashtra"/>
    <x v="0"/>
    <d v="2024-10-06T00:00:00"/>
    <x v="0"/>
    <x v="0"/>
    <x v="0"/>
    <x v="0"/>
    <x v="0"/>
    <x v="0"/>
    <n v="0"/>
    <n v="2397"/>
    <n v="1"/>
    <x v="0"/>
    <x v="0"/>
    <x v="0"/>
  </r>
  <r>
    <s v="UT-100346"/>
    <d v="2024-12-31T00:00:00"/>
    <s v="CUST_10345"/>
    <x v="0"/>
    <s v="DRS-CNT-S"/>
    <x v="4"/>
    <s v="Countdown Dress"/>
    <n v="4499"/>
    <n v="1"/>
    <n v="4499"/>
    <s v="Dec20"/>
    <n v="20"/>
    <s v="Credit Card"/>
    <x v="0"/>
    <s v="Noida"/>
    <s v="Uttar Pradesh"/>
    <x v="2"/>
    <d v="2025-01-28T00:00:00"/>
    <x v="0"/>
    <x v="1"/>
    <x v="3"/>
    <x v="3"/>
    <x v="1"/>
    <x v="0"/>
    <n v="899.8"/>
    <n v="4479"/>
    <n v="0.99555456768170703"/>
    <x v="1"/>
    <x v="1"/>
    <x v="0"/>
  </r>
  <r>
    <s v="UT-100007"/>
    <d v="2024-10-02T00:00:00"/>
    <s v="CUST_10006"/>
    <x v="0"/>
    <s v="DRS-CAS-M"/>
    <x v="4"/>
    <s v="A-Line Dress"/>
    <n v="2199"/>
    <n v="1"/>
    <n v="2199"/>
    <s v="DIWALI20"/>
    <n v="20"/>
    <s v="COD"/>
    <x v="0"/>
    <s v="Pune"/>
    <s v="Maharashtra"/>
    <x v="0"/>
    <m/>
    <x v="1"/>
    <x v="0"/>
    <x v="0"/>
    <x v="0"/>
    <x v="0"/>
    <x v="0"/>
    <n v="439.8"/>
    <n v="2179"/>
    <n v="0.99090495679854484"/>
    <x v="0"/>
    <x v="0"/>
    <x v="1"/>
  </r>
  <r>
    <s v="UT-100008"/>
    <d v="2024-10-02T00:00:00"/>
    <s v="CUST_10007"/>
    <x v="0"/>
    <s v="BOT-TRS-L"/>
    <x v="2"/>
    <s v="Formal Trousers"/>
    <n v="2299"/>
    <n v="1"/>
    <n v="2299"/>
    <s v=""/>
    <n v="0"/>
    <s v="UPI"/>
    <x v="2"/>
    <s v="Kolkata"/>
    <s v="West Bengal"/>
    <x v="2"/>
    <d v="2024-10-10T00:00:00"/>
    <x v="0"/>
    <x v="0"/>
    <x v="0"/>
    <x v="0"/>
    <x v="0"/>
    <x v="0"/>
    <n v="0"/>
    <n v="2299"/>
    <n v="1"/>
    <x v="0"/>
    <x v="0"/>
    <x v="0"/>
  </r>
  <r>
    <s v="UT-100315"/>
    <d v="2024-12-23T00:00:00"/>
    <s v="CUST_10314"/>
    <x v="0"/>
    <s v="TOP-FLK-L"/>
    <x v="0"/>
    <s v="Snowflake Top"/>
    <n v="2199"/>
    <n v="1"/>
    <n v="2199"/>
    <s v=""/>
    <n v="0"/>
    <s v="Debit Card"/>
    <x v="1"/>
    <s v="Mumbai"/>
    <s v="Maharashtra"/>
    <x v="0"/>
    <d v="2025-01-15T00:00:00"/>
    <x v="0"/>
    <x v="1"/>
    <x v="2"/>
    <x v="4"/>
    <x v="1"/>
    <x v="0"/>
    <n v="0"/>
    <n v="2199"/>
    <n v="1"/>
    <x v="1"/>
    <x v="3"/>
    <x v="0"/>
  </r>
  <r>
    <s v="UT-100316"/>
    <d v="2024-12-23T00:00:00"/>
    <s v="CUST_10315"/>
    <x v="0"/>
    <s v="DRS-SPR-S"/>
    <x v="4"/>
    <s v="Sparkle Season Dress"/>
    <n v="3799"/>
    <n v="1"/>
    <n v="3799"/>
    <s v="Dec20"/>
    <n v="20"/>
    <s v="Credit Card"/>
    <x v="0"/>
    <s v="Delhi"/>
    <s v="Delhi"/>
    <x v="2"/>
    <d v="2025-01-16T00:00:00"/>
    <x v="0"/>
    <x v="1"/>
    <x v="3"/>
    <x v="5"/>
    <x v="1"/>
    <x v="0"/>
    <n v="759.8"/>
    <n v="3779"/>
    <n v="0.99473545669913133"/>
    <x v="1"/>
    <x v="3"/>
    <x v="0"/>
  </r>
  <r>
    <s v="UT-100011"/>
    <d v="2024-10-03T00:00:00"/>
    <s v="CUST_10010"/>
    <x v="0"/>
    <s v="ACC-BAG-OS"/>
    <x v="3"/>
    <s v="Tote Bag"/>
    <n v="1299"/>
    <n v="2"/>
    <n v="2598"/>
    <s v="FLAT10"/>
    <n v="10"/>
    <s v="Wallet"/>
    <x v="0"/>
    <s v="Lucknow"/>
    <s v="Uttar Pradesh"/>
    <x v="2"/>
    <d v="2024-10-10T00:00:00"/>
    <x v="0"/>
    <x v="0"/>
    <x v="0"/>
    <x v="0"/>
    <x v="0"/>
    <x v="0"/>
    <n v="259.8"/>
    <n v="2588"/>
    <n v="0.99615088529638185"/>
    <x v="0"/>
    <x v="0"/>
    <x v="0"/>
  </r>
  <r>
    <s v="UT-100012"/>
    <d v="2024-10-03T00:00:00"/>
    <s v="CUST_10011"/>
    <x v="0"/>
    <s v="DRS-PRT-S"/>
    <x v="4"/>
    <s v="Party Dress"/>
    <n v="3299"/>
    <n v="1"/>
    <n v="3299"/>
    <s v=""/>
    <n v="0"/>
    <s v="COD"/>
    <x v="2"/>
    <s v="Chandigarh"/>
    <s v="Punjab"/>
    <x v="2"/>
    <m/>
    <x v="2"/>
    <x v="0"/>
    <x v="0"/>
    <x v="0"/>
    <x v="0"/>
    <x v="0"/>
    <n v="0"/>
    <n v="3299"/>
    <n v="1"/>
    <x v="0"/>
    <x v="0"/>
    <x v="1"/>
  </r>
  <r>
    <s v="UT-100013"/>
    <d v="2024-10-03T00:00:00"/>
    <s v="CUST_10012"/>
    <x v="1"/>
    <s v="TOP-SLK-M"/>
    <x v="0"/>
    <s v="Silk Blouse"/>
    <n v="2499"/>
    <n v="1"/>
    <n v="2499"/>
    <s v=""/>
    <n v="0"/>
    <s v="Credit Card"/>
    <x v="0"/>
    <s v="Mumbai"/>
    <s v="Maharashtra"/>
    <x v="0"/>
    <d v="2024-10-09T00:00:00"/>
    <x v="0"/>
    <x v="0"/>
    <x v="0"/>
    <x v="0"/>
    <x v="0"/>
    <x v="0"/>
    <n v="0"/>
    <n v="2499"/>
    <n v="1"/>
    <x v="0"/>
    <x v="0"/>
    <x v="0"/>
  </r>
  <r>
    <s v="UT-100318"/>
    <d v="2024-12-24T00:00:00"/>
    <s v="CUST_10317"/>
    <x v="0"/>
    <s v="OUT-XMS-L"/>
    <x v="1"/>
    <s v="Christmas Coat"/>
    <n v="6499"/>
    <n v="1"/>
    <n v="6499"/>
    <s v=""/>
    <n v="0"/>
    <s v="COD"/>
    <x v="1"/>
    <s v="Noida"/>
    <s v="Uttar Pradesh"/>
    <x v="2"/>
    <d v="2025-01-17T00:00:00"/>
    <x v="0"/>
    <x v="1"/>
    <x v="4"/>
    <x v="6"/>
    <x v="1"/>
    <x v="0"/>
    <n v="0"/>
    <n v="6499"/>
    <n v="1"/>
    <x v="1"/>
    <x v="3"/>
    <x v="1"/>
  </r>
  <r>
    <s v="UT-100015"/>
    <d v="2024-10-03T00:00:00"/>
    <s v="CUST_10014"/>
    <x v="0"/>
    <s v="OUT-CRD-L"/>
    <x v="1"/>
    <s v="Knit Cardigan"/>
    <n v="2799"/>
    <n v="1"/>
    <n v="2799"/>
    <s v=""/>
    <n v="0"/>
    <s v="Debit Card"/>
    <x v="2"/>
    <s v="Bangalore"/>
    <s v="Karnataka"/>
    <x v="1"/>
    <d v="2024-10-12T00:00:00"/>
    <x v="0"/>
    <x v="0"/>
    <x v="0"/>
    <x v="0"/>
    <x v="0"/>
    <x v="0"/>
    <n v="0"/>
    <n v="2799"/>
    <n v="1"/>
    <x v="0"/>
    <x v="0"/>
    <x v="0"/>
  </r>
  <r>
    <s v="UT-100320"/>
    <d v="2024-12-24T00:00:00"/>
    <s v="CUST_10319"/>
    <x v="0"/>
    <s v="TOP-RDR-M"/>
    <x v="0"/>
    <s v="Reindeer Top"/>
    <n v="1799"/>
    <n v="1"/>
    <n v="1799"/>
    <s v=""/>
    <n v="0"/>
    <s v="Debit Card"/>
    <x v="2"/>
    <s v="Indore"/>
    <s v="Madhya Pradesh"/>
    <x v="0"/>
    <d v="2025-01-17T00:00:00"/>
    <x v="0"/>
    <x v="1"/>
    <x v="5"/>
    <x v="5"/>
    <x v="1"/>
    <x v="0"/>
    <n v="0"/>
    <n v="1799"/>
    <n v="1"/>
    <x v="1"/>
    <x v="3"/>
    <x v="0"/>
  </r>
  <r>
    <s v="UT-100017"/>
    <d v="2024-10-04T00:00:00"/>
    <s v="CUST_10016"/>
    <x v="0"/>
    <s v="TOP-CRP-XS"/>
    <x v="0"/>
    <s v="Crop Top"/>
    <n v="999"/>
    <n v="1"/>
    <n v="999"/>
    <s v="FIRST15"/>
    <n v="15"/>
    <s v="UPI"/>
    <x v="2"/>
    <s v="Gurgaon"/>
    <s v="Haryana"/>
    <x v="2"/>
    <d v="2024-10-12T00:00:00"/>
    <x v="0"/>
    <x v="0"/>
    <x v="0"/>
    <x v="0"/>
    <x v="0"/>
    <x v="0"/>
    <n v="149.85"/>
    <n v="984"/>
    <n v="0.98498498498498499"/>
    <x v="0"/>
    <x v="0"/>
    <x v="0"/>
  </r>
  <r>
    <s v="UT-100018"/>
    <d v="2024-10-04T00:00:00"/>
    <s v="CUST_10017"/>
    <x v="0"/>
    <s v="DRS-MAX-M"/>
    <x v="4"/>
    <s v="Maxi Dress"/>
    <n v="2899"/>
    <n v="1"/>
    <n v="2899"/>
    <s v=""/>
    <n v="0"/>
    <s v="Credit Card"/>
    <x v="0"/>
    <s v="Indore"/>
    <s v="Madhya Pradesh"/>
    <x v="0"/>
    <d v="2024-10-14T00:00:00"/>
    <x v="0"/>
    <x v="0"/>
    <x v="0"/>
    <x v="0"/>
    <x v="0"/>
    <x v="0"/>
    <n v="0"/>
    <n v="2899"/>
    <n v="1"/>
    <x v="0"/>
    <x v="0"/>
    <x v="0"/>
  </r>
  <r>
    <s v="UT-100321"/>
    <d v="2024-12-24T00:00:00"/>
    <s v="CUST_10320"/>
    <x v="0"/>
    <s v="DRS-STR-L"/>
    <x v="4"/>
    <s v="Star Bright Dress"/>
    <n v="4299"/>
    <n v="1"/>
    <n v="4299"/>
    <s v=""/>
    <n v="0"/>
    <s v="Credit Card"/>
    <x v="1"/>
    <s v="Surat"/>
    <s v="Gujarat"/>
    <x v="0"/>
    <d v="2025-01-18T00:00:00"/>
    <x v="0"/>
    <x v="1"/>
    <x v="3"/>
    <x v="7"/>
    <x v="1"/>
    <x v="0"/>
    <n v="0"/>
    <n v="4299"/>
    <n v="1"/>
    <x v="1"/>
    <x v="3"/>
    <x v="0"/>
  </r>
  <r>
    <s v="UT-100020"/>
    <d v="2024-10-05T00:00:00"/>
    <s v="CUST_10019"/>
    <x v="0"/>
    <s v="OUT-VST-S"/>
    <x v="1"/>
    <s v="Puffer Vest"/>
    <n v="3999"/>
    <n v="1"/>
    <n v="3999"/>
    <s v="DIWALI20"/>
    <n v="20"/>
    <s v="COD"/>
    <x v="0"/>
    <s v="Patna"/>
    <s v="Bihar"/>
    <x v="2"/>
    <m/>
    <x v="2"/>
    <x v="0"/>
    <x v="0"/>
    <x v="0"/>
    <x v="0"/>
    <x v="0"/>
    <n v="799.8"/>
    <n v="3979"/>
    <n v="0.99499874968742186"/>
    <x v="0"/>
    <x v="0"/>
    <x v="1"/>
  </r>
  <r>
    <s v="UT-100021"/>
    <d v="2024-10-05T00:00:00"/>
    <s v="CUST_10020"/>
    <x v="0"/>
    <s v="TOP-TUN-L"/>
    <x v="0"/>
    <s v="Tunic Top"/>
    <n v="1699"/>
    <n v="1"/>
    <n v="1699"/>
    <s v=""/>
    <n v="0"/>
    <s v="UPI"/>
    <x v="2"/>
    <s v="Bhopal"/>
    <s v="Madhya Pradesh"/>
    <x v="0"/>
    <d v="2024-10-15T00:00:00"/>
    <x v="0"/>
    <x v="0"/>
    <x v="0"/>
    <x v="0"/>
    <x v="0"/>
    <x v="0"/>
    <n v="0"/>
    <n v="1699"/>
    <n v="1"/>
    <x v="0"/>
    <x v="0"/>
    <x v="0"/>
  </r>
  <r>
    <s v="UT-100323"/>
    <d v="2024-12-25T00:00:00"/>
    <s v="CUST_10322"/>
    <x v="0"/>
    <s v="OUT-JOL-M"/>
    <x v="1"/>
    <s v="Jolly Jacket"/>
    <n v="4999"/>
    <n v="1"/>
    <n v="4999"/>
    <s v=""/>
    <n v="0"/>
    <s v="COD"/>
    <x v="2"/>
    <s v="Bhopal"/>
    <s v="Madhya Pradesh"/>
    <x v="0"/>
    <d v="2025-01-19T00:00:00"/>
    <x v="0"/>
    <x v="1"/>
    <x v="1"/>
    <x v="8"/>
    <x v="1"/>
    <x v="0"/>
    <n v="0"/>
    <n v="4999"/>
    <n v="1"/>
    <x v="1"/>
    <x v="3"/>
    <x v="1"/>
  </r>
  <r>
    <s v="UT-100023"/>
    <d v="2024-10-05T00:00:00"/>
    <s v="CUST_10022"/>
    <x v="0"/>
    <s v="ACC-BLT-M"/>
    <x v="3"/>
    <s v="Leather Belt"/>
    <n v="899"/>
    <n v="1"/>
    <n v="899"/>
    <s v="FLAT10"/>
    <n v="10"/>
    <s v="Debit Card"/>
    <x v="2"/>
    <s v="Coimbatore"/>
    <s v="Tamil Nadu"/>
    <x v="1"/>
    <d v="2024-10-17T00:00:00"/>
    <x v="0"/>
    <x v="0"/>
    <x v="0"/>
    <x v="0"/>
    <x v="0"/>
    <x v="0"/>
    <n v="89.9"/>
    <n v="889"/>
    <n v="0.98887652947719684"/>
    <x v="0"/>
    <x v="0"/>
    <x v="0"/>
  </r>
  <r>
    <s v="UT-100325"/>
    <d v="2024-12-25T00:00:00"/>
    <s v="CUST_10324"/>
    <x v="0"/>
    <s v="TOP-HLY-L"/>
    <x v="0"/>
    <s v="Holly Top"/>
    <n v="2099"/>
    <n v="1"/>
    <n v="2099"/>
    <s v="Dec20"/>
    <n v="20"/>
    <s v="Debit Card"/>
    <x v="0"/>
    <s v="Coimbatore"/>
    <s v="Tamil Nadu"/>
    <x v="1"/>
    <d v="2025-01-19T00:00:00"/>
    <x v="0"/>
    <x v="1"/>
    <x v="2"/>
    <x v="7"/>
    <x v="1"/>
    <x v="0"/>
    <n v="419.8"/>
    <n v="2079"/>
    <n v="0.99047165316817531"/>
    <x v="1"/>
    <x v="3"/>
    <x v="0"/>
  </r>
  <r>
    <s v="UT-100025"/>
    <d v="2024-10-06T00:00:00"/>
    <s v="CUST_10024"/>
    <x v="0"/>
    <s v="TOP-PLO-L"/>
    <x v="0"/>
    <s v="Polo Shirt"/>
    <n v="1799"/>
    <n v="2"/>
    <n v="3598"/>
    <s v=""/>
    <n v="0"/>
    <s v="UPI"/>
    <x v="0"/>
    <s v="Vizag"/>
    <s v="Andhra Pradesh"/>
    <x v="1"/>
    <d v="2024-10-17T00:00:00"/>
    <x v="0"/>
    <x v="0"/>
    <x v="0"/>
    <x v="0"/>
    <x v="0"/>
    <x v="0"/>
    <n v="0"/>
    <n v="3598"/>
    <n v="1"/>
    <x v="0"/>
    <x v="0"/>
    <x v="0"/>
  </r>
  <r>
    <s v="UT-100026"/>
    <d v="2024-10-06T00:00:00"/>
    <s v="CUST_10025"/>
    <x v="0"/>
    <s v="DRS-WRK-M"/>
    <x v="4"/>
    <s v="Work Dress"/>
    <n v="2699"/>
    <n v="1"/>
    <n v="2699"/>
    <s v=""/>
    <n v="0"/>
    <s v="Credit Card"/>
    <x v="2"/>
    <s v="Thiruvananthapuram"/>
    <s v="Kerala"/>
    <x v="1"/>
    <d v="2024-10-18T00:00:00"/>
    <x v="0"/>
    <x v="0"/>
    <x v="0"/>
    <x v="0"/>
    <x v="0"/>
    <x v="0"/>
    <n v="0"/>
    <n v="2699"/>
    <n v="1"/>
    <x v="0"/>
    <x v="0"/>
    <x v="0"/>
  </r>
  <r>
    <s v="UT-100326"/>
    <d v="2024-12-26T00:00:00"/>
    <s v="CUST_10325"/>
    <x v="0"/>
    <s v="DRS-BOX-S"/>
    <x v="4"/>
    <s v="Boxing Day Dress"/>
    <n v="2999"/>
    <n v="1"/>
    <n v="2999"/>
    <s v=""/>
    <n v="0"/>
    <s v="Credit Card"/>
    <x v="2"/>
    <s v="Kochi"/>
    <s v="Kerala"/>
    <x v="1"/>
    <d v="2025-01-20T00:00:00"/>
    <x v="0"/>
    <x v="1"/>
    <x v="3"/>
    <x v="9"/>
    <x v="1"/>
    <x v="0"/>
    <n v="0"/>
    <n v="2999"/>
    <n v="1"/>
    <x v="1"/>
    <x v="3"/>
    <x v="0"/>
  </r>
  <r>
    <s v="UT-100028"/>
    <d v="2024-10-07T00:00:00"/>
    <s v="CUST_10027"/>
    <x v="0"/>
    <s v="ACC-HAT-OS"/>
    <x v="3"/>
    <s v="Fedora Hat"/>
    <n v="1099"/>
    <n v="1"/>
    <n v="1099"/>
    <s v=""/>
    <n v="0"/>
    <s v="UPI"/>
    <x v="1"/>
    <s v="Vadodara"/>
    <s v="Gujarat"/>
    <x v="0"/>
    <d v="2024-10-20T00:00:00"/>
    <x v="0"/>
    <x v="0"/>
    <x v="0"/>
    <x v="0"/>
    <x v="0"/>
    <x v="0"/>
    <n v="0"/>
    <n v="1099"/>
    <n v="1"/>
    <x v="0"/>
    <x v="4"/>
    <x v="0"/>
  </r>
  <r>
    <s v="UT-100029"/>
    <d v="2024-10-07T00:00:00"/>
    <s v="CUST_10028"/>
    <x v="0"/>
    <s v="TOP-DNM-M"/>
    <x v="0"/>
    <s v="Denim Shirt"/>
    <n v="1899"/>
    <n v="1"/>
    <n v="1899"/>
    <s v=""/>
    <n v="0"/>
    <s v="COD"/>
    <x v="2"/>
    <s v="Rajkot"/>
    <s v="Gujarat"/>
    <x v="0"/>
    <m/>
    <x v="2"/>
    <x v="0"/>
    <x v="0"/>
    <x v="0"/>
    <x v="0"/>
    <x v="0"/>
    <n v="0"/>
    <n v="1899"/>
    <n v="1"/>
    <x v="0"/>
    <x v="4"/>
    <x v="1"/>
  </r>
  <r>
    <s v="UT-100030"/>
    <d v="2024-10-07T00:00:00"/>
    <s v="CUST_10029"/>
    <x v="0"/>
    <s v="BOT-CRG-L"/>
    <x v="2"/>
    <s v="Cargo Pants"/>
    <n v="2199"/>
    <n v="1"/>
    <n v="2199"/>
    <s v="DIWALI20"/>
    <n v="20"/>
    <s v="Credit Card"/>
    <x v="0"/>
    <s v="Kanpur"/>
    <s v="Uttar Pradesh"/>
    <x v="2"/>
    <d v="2024-10-20T00:00:00"/>
    <x v="0"/>
    <x v="0"/>
    <x v="0"/>
    <x v="0"/>
    <x v="0"/>
    <x v="0"/>
    <n v="439.8"/>
    <n v="2179"/>
    <n v="0.99090495679854484"/>
    <x v="0"/>
    <x v="4"/>
    <x v="0"/>
  </r>
  <r>
    <s v="UT-100328"/>
    <d v="2024-12-26T00:00:00"/>
    <s v="CUST_10327"/>
    <x v="0"/>
    <s v="OUT-SAL-L"/>
    <x v="1"/>
    <s v="Sale Special Coat"/>
    <n v="5999"/>
    <n v="1"/>
    <n v="5999"/>
    <s v="Dec20"/>
    <n v="20"/>
    <s v="COD"/>
    <x v="0"/>
    <s v="Thiruvananthapuram"/>
    <s v="Kerala"/>
    <x v="1"/>
    <d v="2025-01-21T00:00:00"/>
    <x v="0"/>
    <x v="1"/>
    <x v="4"/>
    <x v="10"/>
    <x v="1"/>
    <x v="0"/>
    <n v="1199.8"/>
    <n v="5979"/>
    <n v="0.99666611101850311"/>
    <x v="1"/>
    <x v="3"/>
    <x v="1"/>
  </r>
  <r>
    <s v="UT-100032"/>
    <d v="2024-10-08T00:00:00"/>
    <s v="CUST_10031"/>
    <x v="0"/>
    <s v="TOP-BAS-M"/>
    <x v="0"/>
    <s v="Basic Tank"/>
    <n v="899"/>
    <n v="2"/>
    <n v="1798"/>
    <s v=""/>
    <n v="0"/>
    <s v="UPI"/>
    <x v="0"/>
    <s v="Delhi"/>
    <s v="Delhi"/>
    <x v="2"/>
    <d v="2024-10-14T00:00:00"/>
    <x v="0"/>
    <x v="0"/>
    <x v="0"/>
    <x v="0"/>
    <x v="0"/>
    <x v="0"/>
    <n v="0"/>
    <n v="1798"/>
    <n v="1"/>
    <x v="0"/>
    <x v="4"/>
    <x v="0"/>
  </r>
  <r>
    <s v="UT-100329"/>
    <d v="2024-12-26T00:00:00"/>
    <s v="CUST_10328"/>
    <x v="1"/>
    <s v="ACC-DIS-OS"/>
    <x v="3"/>
    <s v="Discount Find Bag"/>
    <n v="1299"/>
    <n v="1"/>
    <n v="1299"/>
    <s v=""/>
    <n v="0"/>
    <s v="Wallet"/>
    <x v="2"/>
    <s v="Mysore"/>
    <s v="Karnataka"/>
    <x v="1"/>
    <d v="2025-01-20T00:00:00"/>
    <x v="0"/>
    <x v="1"/>
    <x v="5"/>
    <x v="8"/>
    <x v="1"/>
    <x v="0"/>
    <n v="0"/>
    <n v="1299"/>
    <n v="1"/>
    <x v="1"/>
    <x v="3"/>
    <x v="0"/>
  </r>
  <r>
    <s v="UT-100034"/>
    <d v="2024-10-08T00:00:00"/>
    <s v="CUST_10033"/>
    <x v="1"/>
    <s v="ACC-WCH-OS"/>
    <x v="3"/>
    <s v="Fashion Watch"/>
    <n v="2999"/>
    <n v="1"/>
    <n v="2999"/>
    <s v=""/>
    <n v="0"/>
    <s v="Credit Card"/>
    <x v="2"/>
    <s v="Chennai"/>
    <s v="Tamil Nadu"/>
    <x v="1"/>
    <d v="2024-10-15T00:00:00"/>
    <x v="0"/>
    <x v="0"/>
    <x v="0"/>
    <x v="0"/>
    <x v="0"/>
    <x v="0"/>
    <n v="0"/>
    <n v="2999"/>
    <n v="1"/>
    <x v="0"/>
    <x v="4"/>
    <x v="0"/>
  </r>
  <r>
    <s v="UT-100331"/>
    <d v="2024-12-27T00:00:00"/>
    <s v="CUST_10330"/>
    <x v="0"/>
    <s v="DRS-END-L"/>
    <x v="4"/>
    <s v="Year End Dress"/>
    <n v="3499"/>
    <n v="1"/>
    <n v="3499"/>
    <s v="Dec20"/>
    <n v="20"/>
    <s v="Credit Card"/>
    <x v="0"/>
    <s v="Rajkot"/>
    <s v="Gujarat"/>
    <x v="0"/>
    <d v="2025-01-22T00:00:00"/>
    <x v="0"/>
    <x v="1"/>
    <x v="3"/>
    <x v="11"/>
    <x v="1"/>
    <x v="0"/>
    <n v="699.8"/>
    <n v="3479"/>
    <n v="0.9942840811660475"/>
    <x v="1"/>
    <x v="3"/>
    <x v="0"/>
  </r>
  <r>
    <s v="UT-100036"/>
    <d v="2024-10-09T00:00:00"/>
    <s v="CUST_10035"/>
    <x v="0"/>
    <s v="DRS-SUN-M"/>
    <x v="4"/>
    <s v="Sundress"/>
    <n v="1999"/>
    <n v="1"/>
    <n v="1999"/>
    <s v="DIWALI20"/>
    <n v="20"/>
    <s v="Wallet"/>
    <x v="2"/>
    <s v="Pune"/>
    <s v="Maharashtra"/>
    <x v="0"/>
    <d v="2024-10-16T00:00:00"/>
    <x v="0"/>
    <x v="0"/>
    <x v="0"/>
    <x v="0"/>
    <x v="0"/>
    <x v="0"/>
    <n v="399.8"/>
    <n v="1979"/>
    <n v="0.98999499749874942"/>
    <x v="0"/>
    <x v="4"/>
    <x v="0"/>
  </r>
  <r>
    <s v="UT-100333"/>
    <d v="2024-12-27T00:00:00"/>
    <s v="CUST_10332"/>
    <x v="0"/>
    <s v="OUT-LST-M"/>
    <x v="1"/>
    <s v="Last Chance Jacket"/>
    <n v="4599"/>
    <n v="1"/>
    <n v="4599"/>
    <s v=""/>
    <n v="0"/>
    <s v="COD"/>
    <x v="1"/>
    <s v="Mumbai"/>
    <s v="Maharashtra"/>
    <x v="0"/>
    <d v="2025-01-23T00:00:00"/>
    <x v="0"/>
    <x v="1"/>
    <x v="1"/>
    <x v="12"/>
    <x v="1"/>
    <x v="0"/>
    <n v="0"/>
    <n v="4599"/>
    <n v="1"/>
    <x v="1"/>
    <x v="3"/>
    <x v="1"/>
  </r>
  <r>
    <s v="UT-100038"/>
    <d v="2024-10-09T00:00:00"/>
    <s v="CUST_10037"/>
    <x v="1"/>
    <s v="OUT-LTH-M"/>
    <x v="1"/>
    <s v="Leather Jacket"/>
    <n v="7999"/>
    <n v="1"/>
    <n v="7999"/>
    <s v=""/>
    <n v="0"/>
    <s v="Credit Card"/>
    <x v="0"/>
    <s v="Jaipur"/>
    <s v="Rajasthan"/>
    <x v="2"/>
    <d v="2024-10-18T00:00:00"/>
    <x v="0"/>
    <x v="0"/>
    <x v="0"/>
    <x v="0"/>
    <x v="0"/>
    <x v="0"/>
    <n v="0"/>
    <n v="7999"/>
    <n v="1"/>
    <x v="0"/>
    <x v="4"/>
    <x v="0"/>
  </r>
  <r>
    <s v="UT-100039"/>
    <d v="2024-10-09T00:00:00"/>
    <s v="CUST_10038"/>
    <x v="0"/>
    <s v="ACC-SNG-OS"/>
    <x v="3"/>
    <s v="Sunglasses"/>
    <n v="1499"/>
    <n v="1"/>
    <n v="1499"/>
    <s v="FLAT10"/>
    <n v="10"/>
    <s v="Debit Card"/>
    <x v="2"/>
    <s v="Lucknow"/>
    <s v="Uttar Pradesh"/>
    <x v="2"/>
    <d v="2024-10-17T00:00:00"/>
    <x v="0"/>
    <x v="0"/>
    <x v="0"/>
    <x v="0"/>
    <x v="0"/>
    <x v="0"/>
    <n v="149.9"/>
    <n v="1489"/>
    <n v="0.9933288859239493"/>
    <x v="0"/>
    <x v="4"/>
    <x v="0"/>
  </r>
  <r>
    <s v="UT-100335"/>
    <d v="2024-12-28T00:00:00"/>
    <s v="CUST_10334"/>
    <x v="0"/>
    <s v="TOP-BYE-L"/>
    <x v="0"/>
    <s v="Goodbye 2024 Top"/>
    <n v="1899"/>
    <n v="1"/>
    <n v="1899"/>
    <s v=""/>
    <n v="0"/>
    <s v="Debit Card"/>
    <x v="2"/>
    <s v="Kolkata"/>
    <s v="West Bengal"/>
    <x v="2"/>
    <d v="2025-01-23T00:00:00"/>
    <x v="0"/>
    <x v="1"/>
    <x v="2"/>
    <x v="11"/>
    <x v="1"/>
    <x v="0"/>
    <n v="0"/>
    <n v="1899"/>
    <n v="1"/>
    <x v="1"/>
    <x v="3"/>
    <x v="0"/>
  </r>
  <r>
    <s v="UT-100041"/>
    <d v="2024-10-10T00:00:00"/>
    <s v="CUST_10040"/>
    <x v="0"/>
    <s v="DRS-BDC-S"/>
    <x v="4"/>
    <s v="Bodycon Dress"/>
    <n v="2299"/>
    <n v="1"/>
    <n v="2299"/>
    <s v=""/>
    <n v="0"/>
    <s v="UPI"/>
    <x v="1"/>
    <s v="Mumbai"/>
    <s v="Maharashtra"/>
    <x v="0"/>
    <d v="2024-10-18T00:00:00"/>
    <x v="0"/>
    <x v="0"/>
    <x v="0"/>
    <x v="0"/>
    <x v="0"/>
    <x v="0"/>
    <n v="0"/>
    <n v="2299"/>
    <n v="1"/>
    <x v="0"/>
    <x v="4"/>
    <x v="0"/>
  </r>
  <r>
    <s v="UT-100336"/>
    <d v="2024-12-28T00:00:00"/>
    <s v="CUST_10335"/>
    <x v="0"/>
    <s v="DRS-WLC-S"/>
    <x v="4"/>
    <s v="Welcome 2025 Dress"/>
    <n v="4099"/>
    <n v="1"/>
    <n v="4099"/>
    <s v=""/>
    <n v="0"/>
    <s v="Credit Card"/>
    <x v="1"/>
    <s v="Chennai"/>
    <s v="Tamil Nadu"/>
    <x v="1"/>
    <d v="2025-01-24T00:00:00"/>
    <x v="0"/>
    <x v="1"/>
    <x v="3"/>
    <x v="13"/>
    <x v="1"/>
    <x v="0"/>
    <n v="0"/>
    <n v="4099"/>
    <n v="1"/>
    <x v="1"/>
    <x v="3"/>
    <x v="0"/>
  </r>
  <r>
    <s v="UT-100043"/>
    <d v="2024-10-10T00:00:00"/>
    <s v="CUST_10042"/>
    <x v="0"/>
    <s v="OUT-DNM-L"/>
    <x v="1"/>
    <s v="Denim Vest"/>
    <n v="2499"/>
    <n v="1"/>
    <n v="2499"/>
    <s v=""/>
    <n v="0"/>
    <s v="Wallet"/>
    <x v="0"/>
    <s v="Chandigarh"/>
    <s v="Punjab"/>
    <x v="2"/>
    <d v="2024-10-20T00:00:00"/>
    <x v="0"/>
    <x v="0"/>
    <x v="0"/>
    <x v="0"/>
    <x v="0"/>
    <x v="0"/>
    <n v="0"/>
    <n v="2499"/>
    <n v="1"/>
    <x v="0"/>
    <x v="4"/>
    <x v="0"/>
  </r>
  <r>
    <s v="UT-100338"/>
    <d v="2024-12-29T00:00:00"/>
    <s v="CUST_10337"/>
    <x v="0"/>
    <s v="OUT-HOP-L"/>
    <x v="1"/>
    <s v="Hope Coat"/>
    <n v="5799"/>
    <n v="1"/>
    <n v="5799"/>
    <s v=""/>
    <n v="0"/>
    <s v="COD"/>
    <x v="2"/>
    <s v="Pune"/>
    <s v="Maharashtra"/>
    <x v="0"/>
    <d v="2025-01-25T00:00:00"/>
    <x v="0"/>
    <x v="1"/>
    <x v="4"/>
    <x v="14"/>
    <x v="1"/>
    <x v="0"/>
    <n v="0"/>
    <n v="5799"/>
    <n v="1"/>
    <x v="1"/>
    <x v="3"/>
    <x v="1"/>
  </r>
  <r>
    <s v="UT-100045"/>
    <d v="2024-10-11T00:00:00"/>
    <s v="CUST_10044"/>
    <x v="0"/>
    <s v="BOT-CHP-M"/>
    <x v="2"/>
    <s v="Chino Pants"/>
    <n v="1999"/>
    <n v="1"/>
    <n v="1999"/>
    <s v="FIRST15"/>
    <n v="15"/>
    <s v="UPI"/>
    <x v="2"/>
    <s v="Gurgaon"/>
    <s v="Haryana"/>
    <x v="2"/>
    <d v="2024-10-19T00:00:00"/>
    <x v="0"/>
    <x v="0"/>
    <x v="0"/>
    <x v="0"/>
    <x v="0"/>
    <x v="0"/>
    <n v="299.85000000000002"/>
    <n v="1984"/>
    <n v="0.99249624812406201"/>
    <x v="0"/>
    <x v="4"/>
    <x v="0"/>
  </r>
  <r>
    <s v="UT-100046"/>
    <d v="2024-10-11T00:00:00"/>
    <s v="CUST_10045"/>
    <x v="1"/>
    <s v="DRS-WRP-M"/>
    <x v="4"/>
    <s v="Wrap Dress"/>
    <n v="2599"/>
    <n v="1"/>
    <n v="2599"/>
    <s v=""/>
    <n v="0"/>
    <s v="Credit Card"/>
    <x v="0"/>
    <s v="Indore"/>
    <s v="Madhya Pradesh"/>
    <x v="0"/>
    <d v="2024-10-20T00:00:00"/>
    <x v="0"/>
    <x v="0"/>
    <x v="0"/>
    <x v="0"/>
    <x v="0"/>
    <x v="0"/>
    <n v="0"/>
    <n v="2599"/>
    <n v="1"/>
    <x v="0"/>
    <x v="4"/>
    <x v="0"/>
  </r>
  <r>
    <s v="UT-100047"/>
    <d v="2024-10-11T00:00:00"/>
    <s v="CUST_10046"/>
    <x v="0"/>
    <s v="TOP-STR-S"/>
    <x v="0"/>
    <s v="Striped Tee"/>
    <n v="1299"/>
    <n v="1"/>
    <n v="1299"/>
    <s v=""/>
    <n v="0"/>
    <s v="COD"/>
    <x v="1"/>
    <s v="Surat"/>
    <s v="Gujarat"/>
    <x v="0"/>
    <m/>
    <x v="2"/>
    <x v="0"/>
    <x v="0"/>
    <x v="0"/>
    <x v="0"/>
    <x v="0"/>
    <n v="0"/>
    <n v="1299"/>
    <n v="1"/>
    <x v="0"/>
    <x v="4"/>
    <x v="1"/>
  </r>
  <r>
    <s v="UT-100339"/>
    <d v="2024-12-29T00:00:00"/>
    <s v="CUST_10338"/>
    <x v="1"/>
    <s v="ACC-DRM-OS"/>
    <x v="3"/>
    <s v="Dream Catcher Earrings"/>
    <n v="699"/>
    <n v="2"/>
    <n v="1398"/>
    <s v=""/>
    <n v="0"/>
    <s v="Wallet"/>
    <x v="1"/>
    <s v="Ahmedabad"/>
    <s v="Gujarat"/>
    <x v="0"/>
    <d v="2025-01-24T00:00:00"/>
    <x v="0"/>
    <x v="1"/>
    <x v="5"/>
    <x v="12"/>
    <x v="1"/>
    <x v="0"/>
    <n v="0"/>
    <n v="1398"/>
    <n v="1"/>
    <x v="1"/>
    <x v="3"/>
    <x v="0"/>
  </r>
  <r>
    <s v="UT-100049"/>
    <d v="2024-10-12T00:00:00"/>
    <s v="CUST_10048"/>
    <x v="0"/>
    <s v="ACC-EAR-OS"/>
    <x v="3"/>
    <s v="Hoop Earrings"/>
    <n v="799"/>
    <n v="2"/>
    <n v="1598"/>
    <s v=""/>
    <n v="0"/>
    <s v="UPI"/>
    <x v="0"/>
    <s v="Bhopal"/>
    <s v="Madhya Pradesh"/>
    <x v="0"/>
    <d v="2024-10-20T00:00:00"/>
    <x v="0"/>
    <x v="0"/>
    <x v="0"/>
    <x v="0"/>
    <x v="0"/>
    <x v="0"/>
    <n v="0"/>
    <n v="1598"/>
    <n v="1"/>
    <x v="0"/>
    <x v="4"/>
    <x v="0"/>
  </r>
  <r>
    <s v="UT-100050"/>
    <d v="2024-10-12T00:00:00"/>
    <s v="CUST_10049"/>
    <x v="1"/>
    <s v="BOT-LGN-S"/>
    <x v="2"/>
    <s v="Leggings"/>
    <n v="999"/>
    <n v="2"/>
    <n v="1998"/>
    <s v=""/>
    <n v="0"/>
    <s v="Wallet"/>
    <x v="2"/>
    <s v="Nagpur"/>
    <s v="Maharashtra"/>
    <x v="0"/>
    <d v="2024-10-19T00:00:00"/>
    <x v="0"/>
    <x v="0"/>
    <x v="0"/>
    <x v="0"/>
    <x v="0"/>
    <x v="0"/>
    <n v="0"/>
    <n v="1998"/>
    <n v="1"/>
    <x v="0"/>
    <x v="4"/>
    <x v="0"/>
  </r>
  <r>
    <s v="UT-100341"/>
    <d v="2024-12-29T00:00:00"/>
    <s v="CUST_10340"/>
    <x v="0"/>
    <s v="DRS-PRO-L"/>
    <x v="4"/>
    <s v="Promise Dress"/>
    <n v="3899"/>
    <n v="1"/>
    <n v="3899"/>
    <s v=""/>
    <n v="0"/>
    <s v="Credit Card"/>
    <x v="2"/>
    <s v="Lucknow"/>
    <s v="Uttar Pradesh"/>
    <x v="2"/>
    <d v="2025-01-26T00:00:00"/>
    <x v="0"/>
    <x v="1"/>
    <x v="3"/>
    <x v="2"/>
    <x v="1"/>
    <x v="0"/>
    <n v="0"/>
    <n v="3899"/>
    <n v="1"/>
    <x v="1"/>
    <x v="3"/>
    <x v="0"/>
  </r>
  <r>
    <s v="UT-100052"/>
    <d v="2024-10-13T00:00:00"/>
    <s v="CUST_10051"/>
    <x v="0"/>
    <s v="TOP-LCE-M"/>
    <x v="0"/>
    <s v="Lace Top"/>
    <n v="1699"/>
    <n v="1"/>
    <n v="1699"/>
    <s v="FLAT10"/>
    <n v="10"/>
    <s v="Credit Card"/>
    <x v="0"/>
    <s v="Kochi"/>
    <s v="Kerala"/>
    <x v="1"/>
    <d v="2024-10-21T00:00:00"/>
    <x v="0"/>
    <x v="0"/>
    <x v="0"/>
    <x v="0"/>
    <x v="0"/>
    <x v="0"/>
    <n v="169.9"/>
    <n v="1689"/>
    <n v="0.99411418481459679"/>
    <x v="0"/>
    <x v="4"/>
    <x v="0"/>
  </r>
  <r>
    <s v="UT-100286"/>
    <d v="2024-12-16T00:00:00"/>
    <s v="CUST_10285"/>
    <x v="0"/>
    <s v="DRS-BLS-M"/>
    <x v="4"/>
    <s v="Bliss Dress"/>
    <n v="3899"/>
    <n v="1"/>
    <n v="3899"/>
    <s v="Dec20"/>
    <n v="20"/>
    <s v="Credit Card"/>
    <x v="0"/>
    <s v="Bangalore"/>
    <s v="Karnataka"/>
    <x v="1"/>
    <d v="2025-01-04T00:00:00"/>
    <x v="0"/>
    <x v="1"/>
    <x v="3"/>
    <x v="15"/>
    <x v="1"/>
    <x v="0"/>
    <n v="779.8"/>
    <n v="3879"/>
    <n v="0.9948704796101564"/>
    <x v="1"/>
    <x v="5"/>
    <x v="0"/>
  </r>
  <r>
    <s v="UT-100054"/>
    <d v="2024-10-13T00:00:00"/>
    <s v="CUST_10053"/>
    <x v="1"/>
    <s v="ACC-NCK-OS"/>
    <x v="3"/>
    <s v="Pendant Necklace"/>
    <n v="1299"/>
    <n v="1"/>
    <n v="1299"/>
    <s v=""/>
    <n v="0"/>
    <s v="COD"/>
    <x v="1"/>
    <s v="Thiruvananthapuram"/>
    <s v="Kerala"/>
    <x v="1"/>
    <d v="2024-10-22T00:00:00"/>
    <x v="0"/>
    <x v="0"/>
    <x v="0"/>
    <x v="0"/>
    <x v="0"/>
    <x v="0"/>
    <n v="0"/>
    <n v="1299"/>
    <n v="1"/>
    <x v="0"/>
    <x v="4"/>
    <x v="1"/>
  </r>
  <r>
    <s v="UT-100055"/>
    <d v="2024-10-13T00:00:00"/>
    <s v="CUST_10054"/>
    <x v="0"/>
    <s v="BOT-WID-M"/>
    <x v="2"/>
    <s v="Wide Leg Pants"/>
    <n v="2099"/>
    <n v="1"/>
    <n v="2099"/>
    <s v="DIWALI20"/>
    <n v="20"/>
    <s v="Credit Card"/>
    <x v="0"/>
    <s v="Mysore"/>
    <s v="Karnataka"/>
    <x v="1"/>
    <d v="2024-10-24T00:00:00"/>
    <x v="0"/>
    <x v="0"/>
    <x v="0"/>
    <x v="0"/>
    <x v="0"/>
    <x v="0"/>
    <n v="419.8"/>
    <n v="2079"/>
    <n v="0.99047165316817531"/>
    <x v="0"/>
    <x v="4"/>
    <x v="0"/>
  </r>
  <r>
    <s v="UT-100288"/>
    <d v="2024-12-16T00:00:00"/>
    <s v="CUST_10287"/>
    <x v="0"/>
    <s v="OUT-CLB-M"/>
    <x v="1"/>
    <s v="Celebration Blazer"/>
    <n v="5299"/>
    <n v="1"/>
    <n v="5299"/>
    <s v=""/>
    <n v="0"/>
    <s v="COD"/>
    <x v="1"/>
    <s v="Delhi"/>
    <s v="Delhi"/>
    <x v="2"/>
    <d v="2025-01-05T00:00:00"/>
    <x v="0"/>
    <x v="1"/>
    <x v="4"/>
    <x v="16"/>
    <x v="1"/>
    <x v="0"/>
    <n v="0"/>
    <n v="5299"/>
    <n v="1"/>
    <x v="1"/>
    <x v="5"/>
    <x v="1"/>
  </r>
  <r>
    <s v="UT-100057"/>
    <d v="2024-10-14T00:00:00"/>
    <s v="CUST_10056"/>
    <x v="0"/>
    <s v="TOP-PEP-M"/>
    <x v="0"/>
    <s v="Peplum Top"/>
    <n v="1499"/>
    <n v="1"/>
    <n v="1499"/>
    <s v=""/>
    <n v="0"/>
    <s v="Wallet"/>
    <x v="0"/>
    <s v="Rajkot"/>
    <s v="Gujarat"/>
    <x v="0"/>
    <d v="2024-10-22T00:00:00"/>
    <x v="0"/>
    <x v="0"/>
    <x v="0"/>
    <x v="0"/>
    <x v="0"/>
    <x v="0"/>
    <n v="0"/>
    <n v="1499"/>
    <n v="1"/>
    <x v="0"/>
    <x v="6"/>
    <x v="0"/>
  </r>
  <r>
    <s v="UT-100290"/>
    <d v="2024-12-17T00:00:00"/>
    <s v="CUST_10289"/>
    <x v="0"/>
    <s v="TOP-PRY-M"/>
    <x v="0"/>
    <s v="Party Essential Top"/>
    <n v="1799"/>
    <n v="1"/>
    <n v="1799"/>
    <s v=""/>
    <n v="0"/>
    <s v="Debit Card"/>
    <x v="2"/>
    <s v="Noida"/>
    <s v="Uttar Pradesh"/>
    <x v="2"/>
    <d v="2025-01-05T00:00:00"/>
    <x v="0"/>
    <x v="1"/>
    <x v="5"/>
    <x v="15"/>
    <x v="1"/>
    <x v="0"/>
    <n v="0"/>
    <n v="1799"/>
    <n v="1"/>
    <x v="1"/>
    <x v="5"/>
    <x v="0"/>
  </r>
  <r>
    <s v="UT-100059"/>
    <d v="2024-10-14T00:00:00"/>
    <s v="CUST_10058"/>
    <x v="0"/>
    <s v="ACC-BRC-OS"/>
    <x v="3"/>
    <s v="Charm Bracelet"/>
    <n v="899"/>
    <n v="1"/>
    <n v="899"/>
    <s v=""/>
    <n v="0"/>
    <s v="Credit Card"/>
    <x v="2"/>
    <s v="Mumbai"/>
    <s v="Maharashtra"/>
    <x v="0"/>
    <d v="2024-10-23T00:00:00"/>
    <x v="0"/>
    <x v="0"/>
    <x v="0"/>
    <x v="0"/>
    <x v="0"/>
    <x v="0"/>
    <n v="0"/>
    <n v="899"/>
    <n v="1"/>
    <x v="0"/>
    <x v="6"/>
    <x v="0"/>
  </r>
  <r>
    <s v="UT-100060"/>
    <d v="2024-10-15T00:00:00"/>
    <s v="CUST_10059"/>
    <x v="0"/>
    <s v="BOT-CRP-S"/>
    <x v="2"/>
    <s v="Cropped Pants"/>
    <n v="1799"/>
    <n v="1"/>
    <n v="1799"/>
    <s v=""/>
    <n v="0"/>
    <s v="COD"/>
    <x v="0"/>
    <s v="Delhi"/>
    <s v="Delhi"/>
    <x v="2"/>
    <m/>
    <x v="2"/>
    <x v="0"/>
    <x v="0"/>
    <x v="0"/>
    <x v="0"/>
    <x v="0"/>
    <n v="0"/>
    <n v="1799"/>
    <n v="1"/>
    <x v="0"/>
    <x v="6"/>
    <x v="1"/>
  </r>
  <r>
    <s v="UT-100291"/>
    <d v="2024-12-17T00:00:00"/>
    <s v="CUST_10290"/>
    <x v="0"/>
    <s v="DRS-SHN-L"/>
    <x v="4"/>
    <s v="Shine On Dress"/>
    <n v="4199"/>
    <n v="1"/>
    <n v="4199"/>
    <s v=""/>
    <n v="0"/>
    <s v="Credit Card"/>
    <x v="1"/>
    <s v="Gurgaon"/>
    <s v="Haryana"/>
    <x v="2"/>
    <d v="2025-01-06T00:00:00"/>
    <x v="0"/>
    <x v="1"/>
    <x v="3"/>
    <x v="17"/>
    <x v="1"/>
    <x v="0"/>
    <n v="0"/>
    <n v="4199"/>
    <n v="1"/>
    <x v="1"/>
    <x v="5"/>
    <x v="0"/>
  </r>
  <r>
    <s v="UT-100062"/>
    <d v="2024-10-15T00:00:00"/>
    <s v="CUST_10061"/>
    <x v="1"/>
    <s v="TOP-HLT-L"/>
    <x v="0"/>
    <s v="Halter Top"/>
    <n v="1399"/>
    <n v="1"/>
    <n v="1399"/>
    <s v=""/>
    <n v="0"/>
    <s v="UPI"/>
    <x v="2"/>
    <s v="Chennai"/>
    <s v="Tamil Nadu"/>
    <x v="1"/>
    <d v="2024-10-24T00:00:00"/>
    <x v="0"/>
    <x v="0"/>
    <x v="0"/>
    <x v="0"/>
    <x v="0"/>
    <x v="0"/>
    <n v="0"/>
    <n v="1399"/>
    <n v="1"/>
    <x v="0"/>
    <x v="6"/>
    <x v="0"/>
  </r>
  <r>
    <s v="UT-100293"/>
    <d v="2024-12-17T00:00:00"/>
    <s v="CUST_10292"/>
    <x v="0"/>
    <s v="OUT-DZL-M"/>
    <x v="1"/>
    <s v="Dazzle Jacket"/>
    <n v="5499"/>
    <n v="1"/>
    <n v="5499"/>
    <s v=""/>
    <n v="0"/>
    <s v="COD"/>
    <x v="2"/>
    <s v="Surat"/>
    <s v="Gujarat"/>
    <x v="0"/>
    <d v="2025-01-07T00:00:00"/>
    <x v="0"/>
    <x v="1"/>
    <x v="1"/>
    <x v="18"/>
    <x v="1"/>
    <x v="0"/>
    <n v="0"/>
    <n v="5499"/>
    <n v="1"/>
    <x v="1"/>
    <x v="5"/>
    <x v="1"/>
  </r>
  <r>
    <s v="UT-100064"/>
    <d v="2024-10-16T00:00:00"/>
    <s v="CUST_10063"/>
    <x v="0"/>
    <s v="ACC-RNG-OS"/>
    <x v="3"/>
    <s v="Cocktail Ring"/>
    <n v="699"/>
    <n v="2"/>
    <n v="1398"/>
    <s v="FLAT10"/>
    <n v="10"/>
    <s v="Wallet"/>
    <x v="1"/>
    <s v="Pune"/>
    <s v="Maharashtra"/>
    <x v="0"/>
    <d v="2024-10-25T00:00:00"/>
    <x v="0"/>
    <x v="0"/>
    <x v="0"/>
    <x v="0"/>
    <x v="0"/>
    <x v="0"/>
    <n v="139.80000000000001"/>
    <n v="1388"/>
    <n v="0.99284692417739628"/>
    <x v="0"/>
    <x v="6"/>
    <x v="0"/>
  </r>
  <r>
    <s v="UT-100295"/>
    <d v="2024-12-18T00:00:00"/>
    <s v="CUST_10294"/>
    <x v="0"/>
    <s v="TOP-SLB-L"/>
    <x v="0"/>
    <s v="Celebrate Top"/>
    <n v="2299"/>
    <n v="1"/>
    <n v="2299"/>
    <s v="Dec20"/>
    <n v="20"/>
    <s v="Debit Card"/>
    <x v="0"/>
    <s v="Bhopal"/>
    <s v="Madhya Pradesh"/>
    <x v="0"/>
    <d v="2025-01-07T00:00:00"/>
    <x v="0"/>
    <x v="1"/>
    <x v="2"/>
    <x v="17"/>
    <x v="1"/>
    <x v="0"/>
    <n v="459.8"/>
    <n v="2279"/>
    <n v="0.99130056546324485"/>
    <x v="1"/>
    <x v="5"/>
    <x v="0"/>
  </r>
  <r>
    <s v="UT-100066"/>
    <d v="2024-10-16T00:00:00"/>
    <s v="CUST_10065"/>
    <x v="1"/>
    <s v="DRS-KNT-S"/>
    <x v="4"/>
    <s v="Knit Dress"/>
    <n v="2499"/>
    <n v="1"/>
    <n v="2499"/>
    <s v=""/>
    <n v="0"/>
    <s v="Credit Card"/>
    <x v="0"/>
    <s v="Jaipur"/>
    <s v="Rajasthan"/>
    <x v="2"/>
    <d v="2024-10-26T00:00:00"/>
    <x v="0"/>
    <x v="0"/>
    <x v="0"/>
    <x v="0"/>
    <x v="0"/>
    <x v="0"/>
    <n v="0"/>
    <n v="2499"/>
    <n v="1"/>
    <x v="0"/>
    <x v="6"/>
    <x v="0"/>
  </r>
  <r>
    <s v="UT-100297"/>
    <d v="2024-12-18T00:00:00"/>
    <s v="CUST_10296"/>
    <x v="0"/>
    <s v="BOT-BRT-M"/>
    <x v="2"/>
    <s v="Bright Night Pants"/>
    <n v="2499"/>
    <n v="1"/>
    <n v="2499"/>
    <s v=""/>
    <n v="0"/>
    <s v="UPI"/>
    <x v="1"/>
    <s v="Coimbatore"/>
    <s v="Tamil Nadu"/>
    <x v="1"/>
    <d v="2025-01-08T00:00:00"/>
    <x v="0"/>
    <x v="1"/>
    <x v="3"/>
    <x v="19"/>
    <x v="1"/>
    <x v="0"/>
    <n v="0"/>
    <n v="2499"/>
    <n v="1"/>
    <x v="1"/>
    <x v="5"/>
    <x v="0"/>
  </r>
  <r>
    <s v="UT-100068"/>
    <d v="2024-10-17T00:00:00"/>
    <s v="CUST_10067"/>
    <x v="0"/>
    <s v="OUT-SHR-L"/>
    <x v="1"/>
    <s v="Shrug"/>
    <n v="1299"/>
    <n v="1"/>
    <n v="1299"/>
    <s v=""/>
    <n v="0"/>
    <s v="Debit Card"/>
    <x v="2"/>
    <s v="Bangalore"/>
    <s v="Karnataka"/>
    <x v="1"/>
    <d v="2024-10-28T00:00:00"/>
    <x v="0"/>
    <x v="0"/>
    <x v="0"/>
    <x v="0"/>
    <x v="0"/>
    <x v="0"/>
    <n v="0"/>
    <n v="1299"/>
    <n v="1"/>
    <x v="0"/>
    <x v="6"/>
    <x v="0"/>
  </r>
  <r>
    <s v="UT-100298"/>
    <d v="2024-12-19T00:00:00"/>
    <s v="CUST_10297"/>
    <x v="0"/>
    <s v="OUT-END-L"/>
    <x v="1"/>
    <s v="End of Year Coat"/>
    <n v="6799"/>
    <n v="1"/>
    <n v="6799"/>
    <s v="Dec20"/>
    <n v="20"/>
    <s v="COD"/>
    <x v="0"/>
    <s v="Kochi"/>
    <s v="Kerala"/>
    <x v="1"/>
    <d v="2025-01-09T00:00:00"/>
    <x v="0"/>
    <x v="1"/>
    <x v="4"/>
    <x v="20"/>
    <x v="1"/>
    <x v="0"/>
    <n v="1359.8"/>
    <n v="6779"/>
    <n v="0.99705839093984405"/>
    <x v="1"/>
    <x v="5"/>
    <x v="1"/>
  </r>
  <r>
    <s v="UT-100070"/>
    <d v="2024-10-17T00:00:00"/>
    <s v="CUST_10069"/>
    <x v="1"/>
    <s v="BOT-FLR-S"/>
    <x v="2"/>
    <s v="Flared Jeans"/>
    <n v="2099"/>
    <n v="1"/>
    <n v="2099"/>
    <s v="FIRST15"/>
    <n v="15"/>
    <s v="UPI"/>
    <x v="1"/>
    <s v="Delhi"/>
    <s v="Delhi"/>
    <x v="2"/>
    <d v="2024-10-29T00:00:00"/>
    <x v="0"/>
    <x v="0"/>
    <x v="0"/>
    <x v="0"/>
    <x v="0"/>
    <x v="0"/>
    <n v="314.85000000000002"/>
    <n v="2084"/>
    <n v="0.99285373987613146"/>
    <x v="0"/>
    <x v="6"/>
    <x v="0"/>
  </r>
  <r>
    <s v="UT-100071"/>
    <d v="2024-10-17T00:00:00"/>
    <s v="CUST_10070"/>
    <x v="0"/>
    <s v="DRS-PIN-M"/>
    <x v="4"/>
    <s v="Pinafore Dress"/>
    <n v="2299"/>
    <n v="1"/>
    <n v="2299"/>
    <s v=""/>
    <n v="0"/>
    <s v="COD"/>
    <x v="2"/>
    <s v="Chandigarh"/>
    <s v="Punjab"/>
    <x v="2"/>
    <m/>
    <x v="2"/>
    <x v="0"/>
    <x v="0"/>
    <x v="0"/>
    <x v="0"/>
    <x v="0"/>
    <n v="0"/>
    <n v="2299"/>
    <n v="1"/>
    <x v="0"/>
    <x v="6"/>
    <x v="1"/>
  </r>
  <r>
    <s v="UT-100072"/>
    <d v="2024-10-18T00:00:00"/>
    <s v="CUST_10071"/>
    <x v="0"/>
    <s v="TOP-CRW-L"/>
    <x v="0"/>
    <s v="Crew Neck Tee"/>
    <n v="1199"/>
    <n v="2"/>
    <n v="2398"/>
    <s v=""/>
    <n v="0"/>
    <s v="Wallet"/>
    <x v="0"/>
    <s v="Noida"/>
    <s v="Uttar Pradesh"/>
    <x v="2"/>
    <d v="2024-10-28T00:00:00"/>
    <x v="0"/>
    <x v="0"/>
    <x v="0"/>
    <x v="0"/>
    <x v="0"/>
    <x v="0"/>
    <n v="0"/>
    <n v="2398"/>
    <n v="1"/>
    <x v="0"/>
    <x v="6"/>
    <x v="0"/>
  </r>
  <r>
    <s v="UT-100300"/>
    <d v="2024-12-19T00:00:00"/>
    <s v="CUST_10299"/>
    <x v="0"/>
    <s v="TOP-JOY-M"/>
    <x v="0"/>
    <s v="Joyful Top"/>
    <n v="1899"/>
    <n v="1"/>
    <n v="1899"/>
    <s v=""/>
    <n v="0"/>
    <s v="Debit Card"/>
    <x v="1"/>
    <s v="Thiruvananthapuram"/>
    <s v="Kerala"/>
    <x v="1"/>
    <d v="2025-01-09T00:00:00"/>
    <x v="0"/>
    <x v="1"/>
    <x v="5"/>
    <x v="19"/>
    <x v="1"/>
    <x v="0"/>
    <n v="0"/>
    <n v="1899"/>
    <n v="1"/>
    <x v="1"/>
    <x v="5"/>
    <x v="0"/>
  </r>
  <r>
    <s v="UT-100074"/>
    <d v="2024-10-18T00:00:00"/>
    <s v="CUST_10073"/>
    <x v="1"/>
    <s v="ACC-SCR-OS"/>
    <x v="3"/>
    <s v="Hair Scrunchie"/>
    <n v="299"/>
    <n v="5"/>
    <n v="1495"/>
    <s v=""/>
    <n v="0"/>
    <s v="UPI"/>
    <x v="2"/>
    <s v="Indore"/>
    <s v="Madhya Pradesh"/>
    <x v="0"/>
    <d v="2024-10-27T00:00:00"/>
    <x v="0"/>
    <x v="0"/>
    <x v="0"/>
    <x v="0"/>
    <x v="0"/>
    <x v="0"/>
    <n v="0"/>
    <n v="1495"/>
    <n v="1"/>
    <x v="0"/>
    <x v="6"/>
    <x v="0"/>
  </r>
  <r>
    <s v="UT-100301"/>
    <d v="2024-12-19T00:00:00"/>
    <s v="CUST_10300"/>
    <x v="0"/>
    <s v="DRS-WND-L"/>
    <x v="4"/>
    <s v="Winter Wonder Dress"/>
    <n v="4499"/>
    <n v="1"/>
    <n v="4499"/>
    <s v="Dec20"/>
    <n v="20"/>
    <s v="Credit Card"/>
    <x v="0"/>
    <s v="Mysore"/>
    <s v="Karnataka"/>
    <x v="1"/>
    <d v="2025-01-10T00:00:00"/>
    <x v="0"/>
    <x v="1"/>
    <x v="3"/>
    <x v="21"/>
    <x v="1"/>
    <x v="0"/>
    <n v="899.8"/>
    <n v="4479"/>
    <n v="0.99555456768170703"/>
    <x v="1"/>
    <x v="5"/>
    <x v="0"/>
  </r>
  <r>
    <s v="UT-100076"/>
    <d v="2024-10-19T00:00:00"/>
    <s v="CUST_10075"/>
    <x v="0"/>
    <s v="DRS-SMK-S"/>
    <x v="4"/>
    <s v="Smocked Dress"/>
    <n v="2199"/>
    <n v="1"/>
    <n v="2199"/>
    <s v=""/>
    <n v="0"/>
    <s v="Credit Card"/>
    <x v="1"/>
    <s v="Patna"/>
    <s v="Bihar"/>
    <x v="2"/>
    <d v="2024-10-31T00:00:00"/>
    <x v="0"/>
    <x v="0"/>
    <x v="0"/>
    <x v="0"/>
    <x v="0"/>
    <x v="0"/>
    <n v="0"/>
    <n v="2199"/>
    <n v="1"/>
    <x v="0"/>
    <x v="6"/>
    <x v="0"/>
  </r>
  <r>
    <s v="UT-100303"/>
    <d v="2024-12-20T00:00:00"/>
    <s v="CUST_10302"/>
    <x v="0"/>
    <s v="OUT-HOL-M"/>
    <x v="1"/>
    <s v="Holiday Jacket"/>
    <n v="5199"/>
    <n v="1"/>
    <n v="5199"/>
    <s v=""/>
    <n v="0"/>
    <s v="COD"/>
    <x v="1"/>
    <s v="Rajkot"/>
    <s v="Gujarat"/>
    <x v="0"/>
    <d v="2025-01-11T00:00:00"/>
    <x v="0"/>
    <x v="1"/>
    <x v="1"/>
    <x v="22"/>
    <x v="1"/>
    <x v="0"/>
    <n v="0"/>
    <n v="5199"/>
    <n v="1"/>
    <x v="1"/>
    <x v="5"/>
    <x v="1"/>
  </r>
  <r>
    <s v="UT-100078"/>
    <d v="2024-10-19T00:00:00"/>
    <s v="CUST_10077"/>
    <x v="1"/>
    <s v="OUT-VLV-L"/>
    <x v="1"/>
    <s v="Velvet Blazer"/>
    <n v="4999"/>
    <n v="1"/>
    <n v="4999"/>
    <s v=""/>
    <n v="0"/>
    <s v="UPI"/>
    <x v="0"/>
    <s v="Nagpur"/>
    <s v="Maharashtra"/>
    <x v="0"/>
    <d v="2024-11-01T00:00:00"/>
    <x v="0"/>
    <x v="0"/>
    <x v="0"/>
    <x v="0"/>
    <x v="0"/>
    <x v="0"/>
    <n v="0"/>
    <n v="4999"/>
    <n v="1"/>
    <x v="0"/>
    <x v="6"/>
    <x v="0"/>
  </r>
  <r>
    <s v="UT-100305"/>
    <d v="2024-12-20T00:00:00"/>
    <s v="CUST_10304"/>
    <x v="0"/>
    <s v="TOP-SNW-L"/>
    <x v="0"/>
    <s v="Snow White Top"/>
    <n v="2099"/>
    <n v="1"/>
    <n v="2099"/>
    <s v=""/>
    <n v="0"/>
    <s v="Debit Card"/>
    <x v="2"/>
    <s v="Mumbai"/>
    <s v="Maharashtra"/>
    <x v="0"/>
    <d v="2025-01-11T00:00:00"/>
    <x v="0"/>
    <x v="1"/>
    <x v="2"/>
    <x v="21"/>
    <x v="1"/>
    <x v="0"/>
    <n v="0"/>
    <n v="2099"/>
    <n v="1"/>
    <x v="1"/>
    <x v="5"/>
    <x v="0"/>
  </r>
  <r>
    <s v="UT-100080"/>
    <d v="2024-10-20T00:00:00"/>
    <s v="CUST_10079"/>
    <x v="0"/>
    <s v="BOT-CRG-S"/>
    <x v="2"/>
    <s v="Cargo Shorts"/>
    <n v="1499"/>
    <n v="1"/>
    <n v="1499"/>
    <s v="DIWALI20"/>
    <n v="20"/>
    <s v="Credit Card"/>
    <x v="2"/>
    <s v="Kochi"/>
    <s v="Kerala"/>
    <x v="1"/>
    <d v="2024-10-31T00:00:00"/>
    <x v="0"/>
    <x v="0"/>
    <x v="0"/>
    <x v="0"/>
    <x v="0"/>
    <x v="0"/>
    <n v="299.8"/>
    <n v="1479"/>
    <n v="0.9866577718478986"/>
    <x v="0"/>
    <x v="6"/>
    <x v="0"/>
  </r>
  <r>
    <s v="UT-100306"/>
    <d v="2024-12-21T00:00:00"/>
    <s v="CUST_10305"/>
    <x v="0"/>
    <s v="DRS-ICE-S"/>
    <x v="4"/>
    <s v="Ice Queen Dress"/>
    <n v="3999"/>
    <n v="1"/>
    <n v="3999"/>
    <s v=""/>
    <n v="0"/>
    <s v="Credit Card"/>
    <x v="1"/>
    <s v="Delhi"/>
    <s v="Delhi"/>
    <x v="2"/>
    <d v="2025-01-12T00:00:00"/>
    <x v="0"/>
    <x v="1"/>
    <x v="3"/>
    <x v="23"/>
    <x v="1"/>
    <x v="0"/>
    <n v="0"/>
    <n v="3999"/>
    <n v="1"/>
    <x v="1"/>
    <x v="5"/>
    <x v="0"/>
  </r>
  <r>
    <s v="UT-100082"/>
    <d v="2024-10-20T00:00:00"/>
    <s v="CUST_10081"/>
    <x v="1"/>
    <s v="TOP-VNK-L"/>
    <x v="0"/>
    <s v="V-Neck Tee"/>
    <n v="1099"/>
    <n v="2"/>
    <n v="2198"/>
    <s v=""/>
    <n v="0"/>
    <s v="UPI"/>
    <x v="1"/>
    <s v="Thiruvananthapuram"/>
    <s v="Kerala"/>
    <x v="1"/>
    <d v="2024-10-30T00:00:00"/>
    <x v="0"/>
    <x v="0"/>
    <x v="0"/>
    <x v="0"/>
    <x v="0"/>
    <x v="0"/>
    <n v="0"/>
    <n v="2198"/>
    <n v="1"/>
    <x v="0"/>
    <x v="6"/>
    <x v="0"/>
  </r>
  <r>
    <s v="UT-100308"/>
    <d v="2024-12-21T00:00:00"/>
    <s v="CUST_10307"/>
    <x v="0"/>
    <s v="OUT-WNT-L"/>
    <x v="1"/>
    <s v="Winter Wonderland Coat"/>
    <n v="7299"/>
    <n v="1"/>
    <n v="7299"/>
    <s v=""/>
    <n v="0"/>
    <s v="COD"/>
    <x v="2"/>
    <s v="Chennai"/>
    <s v="Tamil Nadu"/>
    <x v="1"/>
    <d v="2025-01-13T00:00:00"/>
    <x v="0"/>
    <x v="1"/>
    <x v="4"/>
    <x v="24"/>
    <x v="1"/>
    <x v="0"/>
    <n v="0"/>
    <n v="7299"/>
    <n v="1"/>
    <x v="1"/>
    <x v="5"/>
    <x v="1"/>
  </r>
  <r>
    <s v="UT-100084"/>
    <d v="2024-10-21T00:00:00"/>
    <s v="CUST_10083"/>
    <x v="0"/>
    <s v="ACC-BDY-OS"/>
    <x v="3"/>
    <s v="Body Chain"/>
    <n v="799"/>
    <n v="1"/>
    <n v="799"/>
    <s v=""/>
    <n v="0"/>
    <s v="COD"/>
    <x v="0"/>
    <s v="Vadodara"/>
    <s v="Gujarat"/>
    <x v="0"/>
    <m/>
    <x v="2"/>
    <x v="0"/>
    <x v="0"/>
    <x v="0"/>
    <x v="0"/>
    <x v="0"/>
    <n v="0"/>
    <n v="799"/>
    <n v="1"/>
    <x v="0"/>
    <x v="7"/>
    <x v="1"/>
  </r>
  <r>
    <s v="UT-100085"/>
    <d v="2024-10-21T00:00:00"/>
    <s v="CUST_10084"/>
    <x v="0"/>
    <s v="BOT-JGR-L"/>
    <x v="2"/>
    <s v="Jogger Pants"/>
    <n v="1599"/>
    <n v="1"/>
    <n v="1599"/>
    <s v=""/>
    <n v="0"/>
    <s v="Wallet"/>
    <x v="1"/>
    <s v="Rajkot"/>
    <s v="Gujarat"/>
    <x v="0"/>
    <d v="2024-11-02T00:00:00"/>
    <x v="0"/>
    <x v="0"/>
    <x v="0"/>
    <x v="0"/>
    <x v="0"/>
    <x v="0"/>
    <n v="0"/>
    <n v="1599"/>
    <n v="1"/>
    <x v="0"/>
    <x v="7"/>
    <x v="0"/>
  </r>
  <r>
    <s v="UT-100309"/>
    <d v="2024-12-21T00:00:00"/>
    <s v="CUST_10308"/>
    <x v="1"/>
    <s v="ACC-SNF-OS"/>
    <x v="3"/>
    <s v="Snowflake Pendant"/>
    <n v="899"/>
    <n v="1"/>
    <n v="899"/>
    <s v=""/>
    <n v="0"/>
    <s v="Wallet"/>
    <x v="1"/>
    <s v="Hyderabad"/>
    <s v="Telangana"/>
    <x v="1"/>
    <d v="2025-01-12T00:00:00"/>
    <x v="0"/>
    <x v="1"/>
    <x v="5"/>
    <x v="22"/>
    <x v="1"/>
    <x v="0"/>
    <n v="0"/>
    <n v="899"/>
    <n v="1"/>
    <x v="1"/>
    <x v="5"/>
    <x v="0"/>
  </r>
  <r>
    <s v="UT-100087"/>
    <d v="2024-10-21T00:00:00"/>
    <s v="CUST_10086"/>
    <x v="0"/>
    <s v="TOP-SQR-M"/>
    <x v="0"/>
    <s v="Square Neck Top"/>
    <n v="1499"/>
    <n v="1"/>
    <n v="1499"/>
    <s v=""/>
    <n v="0"/>
    <s v="UPI"/>
    <x v="0"/>
    <s v="Mumbai"/>
    <s v="Maharashtra"/>
    <x v="0"/>
    <d v="2024-11-02T00:00:00"/>
    <x v="0"/>
    <x v="0"/>
    <x v="0"/>
    <x v="0"/>
    <x v="0"/>
    <x v="0"/>
    <n v="0"/>
    <n v="1499"/>
    <n v="1"/>
    <x v="0"/>
    <x v="7"/>
    <x v="0"/>
  </r>
  <r>
    <s v="UT-100311"/>
    <d v="2024-12-22T00:00:00"/>
    <s v="CUST_10310"/>
    <x v="0"/>
    <s v="DRS-NYR-L"/>
    <x v="4"/>
    <s v="New Year Ready Dress"/>
    <n v="4699"/>
    <n v="1"/>
    <n v="4699"/>
    <s v=""/>
    <n v="0"/>
    <s v="Credit Card"/>
    <x v="2"/>
    <s v="Ahmedabad"/>
    <s v="Gujarat"/>
    <x v="0"/>
    <d v="2025-01-14T00:00:00"/>
    <x v="0"/>
    <x v="1"/>
    <x v="3"/>
    <x v="4"/>
    <x v="1"/>
    <x v="0"/>
    <n v="0"/>
    <n v="4699"/>
    <n v="1"/>
    <x v="1"/>
    <x v="5"/>
    <x v="0"/>
  </r>
  <r>
    <s v="UT-100089"/>
    <d v="2024-10-22T00:00:00"/>
    <s v="CUST_10088"/>
    <x v="0"/>
    <s v="ACC-ANK-OS"/>
    <x v="3"/>
    <s v="Anklet"/>
    <n v="499"/>
    <n v="2"/>
    <n v="998"/>
    <s v="FLAT10"/>
    <n v="10"/>
    <s v="Credit Card"/>
    <x v="2"/>
    <s v="Kolkata"/>
    <s v="West Bengal"/>
    <x v="2"/>
    <d v="2024-11-01T00:00:00"/>
    <x v="0"/>
    <x v="0"/>
    <x v="0"/>
    <x v="0"/>
    <x v="0"/>
    <x v="0"/>
    <n v="99.8"/>
    <n v="988"/>
    <n v="0.98997995991983967"/>
    <x v="0"/>
    <x v="7"/>
    <x v="0"/>
  </r>
  <r>
    <s v="UT-100090"/>
    <d v="2024-10-22T00:00:00"/>
    <s v="CUST_10089"/>
    <x v="1"/>
    <s v="BOT-TRS-M"/>
    <x v="2"/>
    <s v="Tailored Trousers"/>
    <n v="2399"/>
    <n v="1"/>
    <n v="2399"/>
    <s v=""/>
    <n v="0"/>
    <s v="UPI"/>
    <x v="0"/>
    <s v="Chennai"/>
    <s v="Tamil Nadu"/>
    <x v="1"/>
    <d v="2024-11-03T00:00:00"/>
    <x v="0"/>
    <x v="0"/>
    <x v="0"/>
    <x v="0"/>
    <x v="0"/>
    <x v="0"/>
    <n v="0"/>
    <n v="2399"/>
    <n v="1"/>
    <x v="0"/>
    <x v="7"/>
    <x v="0"/>
  </r>
  <r>
    <s v="UT-100091"/>
    <d v="2024-10-22T00:00:00"/>
    <s v="CUST_10090"/>
    <x v="0"/>
    <s v="DRS-LST-M"/>
    <x v="4"/>
    <s v="Lace Trim Dress"/>
    <n v="2599"/>
    <n v="1"/>
    <n v="2599"/>
    <s v=""/>
    <n v="0"/>
    <s v="COD"/>
    <x v="1"/>
    <s v="Hyderabad"/>
    <s v="Telangana"/>
    <x v="1"/>
    <m/>
    <x v="2"/>
    <x v="0"/>
    <x v="0"/>
    <x v="0"/>
    <x v="0"/>
    <x v="0"/>
    <n v="0"/>
    <n v="2599"/>
    <n v="1"/>
    <x v="0"/>
    <x v="7"/>
    <x v="1"/>
  </r>
  <r>
    <s v="UT-100313"/>
    <d v="2024-12-22T00:00:00"/>
    <s v="CUST_10312"/>
    <x v="0"/>
    <s v="OUT-CEL-M"/>
    <x v="1"/>
    <s v="Celebrate Blazer"/>
    <n v="5399"/>
    <n v="1"/>
    <n v="5399"/>
    <s v="Dec20"/>
    <n v="20"/>
    <s v="COD"/>
    <x v="0"/>
    <s v="Lucknow"/>
    <s v="Uttar Pradesh"/>
    <x v="2"/>
    <d v="2025-01-15T00:00:00"/>
    <x v="0"/>
    <x v="1"/>
    <x v="1"/>
    <x v="25"/>
    <x v="1"/>
    <x v="0"/>
    <n v="1079.8"/>
    <n v="5379"/>
    <n v="0.99629561029820335"/>
    <x v="1"/>
    <x v="5"/>
    <x v="1"/>
  </r>
  <r>
    <s v="UT-100093"/>
    <d v="2024-10-23T00:00:00"/>
    <s v="CUST_10092"/>
    <x v="0"/>
    <s v="OUT-PUF-M"/>
    <x v="1"/>
    <s v="Puffer Jacket"/>
    <n v="4299"/>
    <n v="1"/>
    <n v="4299"/>
    <s v=""/>
    <n v="0"/>
    <s v="Credit Card"/>
    <x v="0"/>
    <s v="Ahmedabad"/>
    <s v="Gujarat"/>
    <x v="0"/>
    <d v="2024-11-05T00:00:00"/>
    <x v="0"/>
    <x v="0"/>
    <x v="0"/>
    <x v="0"/>
    <x v="0"/>
    <x v="0"/>
    <n v="0"/>
    <n v="4299"/>
    <n v="1"/>
    <x v="0"/>
    <x v="7"/>
    <x v="0"/>
  </r>
  <r>
    <s v="UT-100094"/>
    <d v="2024-10-23T00:00:00"/>
    <s v="CUST_10093"/>
    <x v="1"/>
    <s v="ACC-HDR-OS"/>
    <x v="3"/>
    <s v="Hairband"/>
    <n v="399"/>
    <n v="3"/>
    <n v="1197"/>
    <s v=""/>
    <n v="0"/>
    <s v="UPI"/>
    <x v="1"/>
    <s v="Jaipur"/>
    <s v="Rajasthan"/>
    <x v="2"/>
    <d v="2024-11-02T00:00:00"/>
    <x v="0"/>
    <x v="0"/>
    <x v="0"/>
    <x v="0"/>
    <x v="0"/>
    <x v="0"/>
    <n v="0"/>
    <n v="1197"/>
    <n v="1"/>
    <x v="0"/>
    <x v="7"/>
    <x v="0"/>
  </r>
  <r>
    <s v="UT-100258"/>
    <d v="2024-12-09T00:00:00"/>
    <s v="CUST_10257"/>
    <x v="1"/>
    <s v="OUT-SQN-M"/>
    <x v="1"/>
    <s v="Sequin Jacket"/>
    <n v="5999"/>
    <n v="1"/>
    <n v="5999"/>
    <s v=""/>
    <n v="0"/>
    <s v="COD"/>
    <x v="1"/>
    <s v="Kanpur"/>
    <s v="Uttar Pradesh"/>
    <x v="2"/>
    <d v="2024-12-24T00:00:00"/>
    <x v="0"/>
    <x v="1"/>
    <x v="4"/>
    <x v="26"/>
    <x v="1"/>
    <x v="0"/>
    <n v="0"/>
    <n v="5999"/>
    <n v="1"/>
    <x v="1"/>
    <x v="8"/>
    <x v="1"/>
  </r>
  <r>
    <s v="UT-100096"/>
    <d v="2024-10-24T00:00:00"/>
    <s v="CUST_10095"/>
    <x v="0"/>
    <s v="DRS-SHR-S"/>
    <x v="4"/>
    <s v="Shirtdress"/>
    <n v="2399"/>
    <n v="1"/>
    <n v="2399"/>
    <s v=""/>
    <n v="0"/>
    <s v="Credit Card"/>
    <x v="0"/>
    <s v="Bangalore"/>
    <s v="Karnataka"/>
    <x v="1"/>
    <d v="2024-11-04T00:00:00"/>
    <x v="0"/>
    <x v="0"/>
    <x v="0"/>
    <x v="0"/>
    <x v="0"/>
    <x v="0"/>
    <n v="0"/>
    <n v="2399"/>
    <n v="1"/>
    <x v="0"/>
    <x v="7"/>
    <x v="0"/>
  </r>
  <r>
    <s v="UT-100260"/>
    <d v="2024-12-09T00:00:00"/>
    <s v="CUST_10259"/>
    <x v="0"/>
    <s v="TOP-FTH-S"/>
    <x v="0"/>
    <s v="Feather Trim Top"/>
    <n v="2099"/>
    <n v="1"/>
    <n v="2099"/>
    <s v=""/>
    <n v="0"/>
    <s v="Debit Card"/>
    <x v="2"/>
    <s v="Delhi"/>
    <s v="Delhi"/>
    <x v="2"/>
    <d v="2024-12-24T00:00:00"/>
    <x v="0"/>
    <x v="1"/>
    <x v="5"/>
    <x v="27"/>
    <x v="1"/>
    <x v="0"/>
    <n v="0"/>
    <n v="2099"/>
    <n v="1"/>
    <x v="1"/>
    <x v="8"/>
    <x v="0"/>
  </r>
  <r>
    <s v="UT-100098"/>
    <d v="2024-10-24T00:00:00"/>
    <s v="CUST_10097"/>
    <x v="1"/>
    <s v="OUT-SHW-L"/>
    <x v="1"/>
    <s v="Shawl Wrap"/>
    <n v="2799"/>
    <n v="1"/>
    <n v="2799"/>
    <s v="DIWALI20"/>
    <n v="20"/>
    <s v="UPI"/>
    <x v="2"/>
    <s v="Delhi"/>
    <s v="Delhi"/>
    <x v="2"/>
    <d v="2024-11-05T00:00:00"/>
    <x v="0"/>
    <x v="0"/>
    <x v="0"/>
    <x v="0"/>
    <x v="0"/>
    <x v="0"/>
    <n v="559.79999999999995"/>
    <n v="2779"/>
    <n v="0.99285459092533046"/>
    <x v="0"/>
    <x v="7"/>
    <x v="0"/>
  </r>
  <r>
    <s v="UT-100099"/>
    <d v="2024-10-24T00:00:00"/>
    <s v="CUST_10098"/>
    <x v="0"/>
    <s v="ACC-BLT-S"/>
    <x v="3"/>
    <s v="Braided Belt"/>
    <n v="699"/>
    <n v="1"/>
    <n v="699"/>
    <s v=""/>
    <n v="0"/>
    <s v="Wallet"/>
    <x v="0"/>
    <s v="Chandigarh"/>
    <s v="Punjab"/>
    <x v="2"/>
    <d v="2024-11-04T00:00:00"/>
    <x v="0"/>
    <x v="0"/>
    <x v="0"/>
    <x v="0"/>
    <x v="0"/>
    <x v="0"/>
    <n v="0"/>
    <n v="699"/>
    <n v="1"/>
    <x v="0"/>
    <x v="7"/>
    <x v="0"/>
  </r>
  <r>
    <s v="UT-100261"/>
    <d v="2024-12-10T00:00:00"/>
    <s v="CUST_10260"/>
    <x v="0"/>
    <s v="DRS-PRY-M"/>
    <x v="4"/>
    <s v="Party Maxi"/>
    <n v="3999"/>
    <n v="1"/>
    <n v="3999"/>
    <s v=""/>
    <n v="0"/>
    <s v="Credit Card"/>
    <x v="1"/>
    <s v="Chandigarh"/>
    <s v="Punjab"/>
    <x v="2"/>
    <d v="2024-12-25T00:00:00"/>
    <x v="0"/>
    <x v="1"/>
    <x v="3"/>
    <x v="28"/>
    <x v="1"/>
    <x v="0"/>
    <n v="0"/>
    <n v="3999"/>
    <n v="1"/>
    <x v="1"/>
    <x v="8"/>
    <x v="0"/>
  </r>
  <r>
    <s v="UT-100101"/>
    <d v="2024-10-25T00:00:00"/>
    <s v="CUST_10100"/>
    <x v="0"/>
    <s v="DRS-MXI-L"/>
    <x v="4"/>
    <s v="Maxi Dress"/>
    <n v="2799"/>
    <n v="1"/>
    <n v="2799"/>
    <s v="FLAT10"/>
    <n v="10"/>
    <s v="Credit Card"/>
    <x v="2"/>
    <s v="Gurgaon"/>
    <s v="Haryana"/>
    <x v="2"/>
    <d v="2024-11-06T00:00:00"/>
    <x v="0"/>
    <x v="0"/>
    <x v="0"/>
    <x v="0"/>
    <x v="0"/>
    <x v="0"/>
    <n v="279.89999999999998"/>
    <n v="2789"/>
    <n v="0.99642729546266529"/>
    <x v="0"/>
    <x v="7"/>
    <x v="0"/>
  </r>
  <r>
    <s v="UT-100263"/>
    <d v="2024-12-10T00:00:00"/>
    <s v="CUST_10262"/>
    <x v="1"/>
    <s v="OUT-LME-L"/>
    <x v="1"/>
    <s v="Lame Blazer"/>
    <n v="4899"/>
    <n v="1"/>
    <n v="4899"/>
    <s v=""/>
    <n v="0"/>
    <s v="COD"/>
    <x v="2"/>
    <s v="Gurgaon"/>
    <s v="Haryana"/>
    <x v="2"/>
    <d v="2024-12-26T00:00:00"/>
    <x v="0"/>
    <x v="1"/>
    <x v="1"/>
    <x v="29"/>
    <x v="1"/>
    <x v="0"/>
    <n v="0"/>
    <n v="4899"/>
    <n v="1"/>
    <x v="1"/>
    <x v="8"/>
    <x v="1"/>
  </r>
  <r>
    <s v="UT-100103"/>
    <d v="2024-10-25T00:00:00"/>
    <s v="CUST_10102"/>
    <x v="0"/>
    <s v="OUT-CPE-M"/>
    <x v="1"/>
    <s v="Cape Coat"/>
    <n v="5999"/>
    <n v="1"/>
    <n v="5999"/>
    <s v=""/>
    <n v="0"/>
    <s v="Credit Card"/>
    <x v="1"/>
    <s v="Surat"/>
    <s v="Gujarat"/>
    <x v="0"/>
    <d v="2024-11-08T00:00:00"/>
    <x v="0"/>
    <x v="0"/>
    <x v="0"/>
    <x v="0"/>
    <x v="0"/>
    <x v="0"/>
    <n v="0"/>
    <n v="5999"/>
    <n v="1"/>
    <x v="0"/>
    <x v="7"/>
    <x v="0"/>
  </r>
  <r>
    <s v="UT-100104"/>
    <d v="2024-10-26T00:00:00"/>
    <s v="CUST_10103"/>
    <x v="0"/>
    <s v="ACC-SHD-OS"/>
    <x v="3"/>
    <s v="Shoulder Bag"/>
    <n v="1799"/>
    <n v="1"/>
    <n v="1799"/>
    <s v="DIWALI20"/>
    <n v="20"/>
    <s v="COD"/>
    <x v="2"/>
    <s v="Patna"/>
    <s v="Bihar"/>
    <x v="2"/>
    <m/>
    <x v="2"/>
    <x v="0"/>
    <x v="0"/>
    <x v="0"/>
    <x v="0"/>
    <x v="0"/>
    <n v="359.8"/>
    <n v="1779"/>
    <n v="0.98888271261812122"/>
    <x v="0"/>
    <x v="7"/>
    <x v="1"/>
  </r>
  <r>
    <s v="UT-100265"/>
    <d v="2024-12-10T00:00:00"/>
    <s v="CUST_10264"/>
    <x v="0"/>
    <s v="TOP-SHM-M"/>
    <x v="0"/>
    <s v="Shimmer Top"/>
    <n v="1899"/>
    <n v="1"/>
    <n v="1899"/>
    <s v="Dec20"/>
    <n v="20"/>
    <s v="Debit Card"/>
    <x v="0"/>
    <s v="Surat"/>
    <s v="Gujarat"/>
    <x v="0"/>
    <d v="2024-12-26T00:00:00"/>
    <x v="0"/>
    <x v="1"/>
    <x v="2"/>
    <x v="30"/>
    <x v="1"/>
    <x v="0"/>
    <n v="379.8"/>
    <n v="1879"/>
    <n v="0.98946814112690895"/>
    <x v="1"/>
    <x v="8"/>
    <x v="0"/>
  </r>
  <r>
    <s v="UT-100106"/>
    <d v="2024-10-26T00:00:00"/>
    <s v="CUST_10105"/>
    <x v="1"/>
    <s v="DRS-FIT-S"/>
    <x v="4"/>
    <s v="Fit &amp; Flare Dress"/>
    <n v="2499"/>
    <n v="1"/>
    <n v="2499"/>
    <s v=""/>
    <n v="0"/>
    <s v="Debit Card"/>
    <x v="1"/>
    <s v="Nagpur"/>
    <s v="Maharashtra"/>
    <x v="0"/>
    <d v="2024-11-08T00:00:00"/>
    <x v="0"/>
    <x v="0"/>
    <x v="0"/>
    <x v="0"/>
    <x v="0"/>
    <x v="0"/>
    <n v="0"/>
    <n v="2499"/>
    <n v="1"/>
    <x v="0"/>
    <x v="7"/>
    <x v="0"/>
  </r>
  <r>
    <s v="UT-100267"/>
    <d v="2024-12-11T00:00:00"/>
    <s v="CUST_10266"/>
    <x v="0"/>
    <s v="BOT-CHM-S"/>
    <x v="2"/>
    <s v="Champagne Pants"/>
    <n v="2699"/>
    <n v="1"/>
    <n v="2699"/>
    <s v=""/>
    <n v="0"/>
    <s v="UPI"/>
    <x v="1"/>
    <s v="Bhopal"/>
    <s v="Madhya Pradesh"/>
    <x v="0"/>
    <d v="2024-12-27T00:00:00"/>
    <x v="0"/>
    <x v="1"/>
    <x v="3"/>
    <x v="31"/>
    <x v="1"/>
    <x v="0"/>
    <n v="0"/>
    <n v="2699"/>
    <n v="1"/>
    <x v="1"/>
    <x v="8"/>
    <x v="0"/>
  </r>
  <r>
    <s v="UT-100108"/>
    <d v="2024-10-27T00:00:00"/>
    <s v="CUST_10107"/>
    <x v="0"/>
    <s v="OUT-BLR-L"/>
    <x v="1"/>
    <s v="Blazer"/>
    <n v="3999"/>
    <n v="1"/>
    <n v="3999"/>
    <s v=""/>
    <n v="0"/>
    <s v="Credit Card"/>
    <x v="0"/>
    <s v="Kochi"/>
    <s v="Kerala"/>
    <x v="1"/>
    <d v="2024-11-09T00:00:00"/>
    <x v="0"/>
    <x v="0"/>
    <x v="0"/>
    <x v="0"/>
    <x v="0"/>
    <x v="0"/>
    <n v="0"/>
    <n v="3999"/>
    <n v="1"/>
    <x v="0"/>
    <x v="7"/>
    <x v="0"/>
  </r>
  <r>
    <s v="UT-100268"/>
    <d v="2024-12-11T00:00:00"/>
    <s v="CUST_10267"/>
    <x v="1"/>
    <s v="OUT-RSE-M"/>
    <x v="1"/>
    <s v="Rose Gold Jacket"/>
    <n v="5599"/>
    <n v="1"/>
    <n v="5599"/>
    <s v="Dec20"/>
    <n v="20"/>
    <s v="COD"/>
    <x v="0"/>
    <s v="Nagpur"/>
    <s v="Maharashtra"/>
    <x v="0"/>
    <d v="2024-12-28T00:00:00"/>
    <x v="0"/>
    <x v="1"/>
    <x v="4"/>
    <x v="32"/>
    <x v="1"/>
    <x v="0"/>
    <n v="1119.8"/>
    <n v="5579"/>
    <n v="0.99642793355956416"/>
    <x v="1"/>
    <x v="8"/>
    <x v="1"/>
  </r>
  <r>
    <s v="UT-100110"/>
    <d v="2024-10-27T00:00:00"/>
    <s v="CUST_10109"/>
    <x v="1"/>
    <s v="BOT-HRM-M"/>
    <x v="2"/>
    <s v="Harem Pants"/>
    <n v="1799"/>
    <n v="1"/>
    <n v="1799"/>
    <s v="DIWALI20"/>
    <n v="20"/>
    <s v="UPI"/>
    <x v="2"/>
    <s v="Thiruvananthapuram"/>
    <s v="Kerala"/>
    <x v="1"/>
    <d v="2024-11-08T00:00:00"/>
    <x v="0"/>
    <x v="0"/>
    <x v="0"/>
    <x v="0"/>
    <x v="0"/>
    <x v="0"/>
    <n v="359.8"/>
    <n v="1779"/>
    <n v="0.98888271261812122"/>
    <x v="0"/>
    <x v="7"/>
    <x v="0"/>
  </r>
  <r>
    <s v="UT-100270"/>
    <d v="2024-12-12T00:00:00"/>
    <s v="CUST_10269"/>
    <x v="0"/>
    <s v="TOP-CEL-L"/>
    <x v="0"/>
    <s v="Celebration Top"/>
    <n v="2199"/>
    <n v="1"/>
    <n v="2199"/>
    <s v=""/>
    <n v="0"/>
    <s v="Debit Card"/>
    <x v="1"/>
    <s v="Kochi"/>
    <s v="Kerala"/>
    <x v="1"/>
    <d v="2024-12-28T00:00:00"/>
    <x v="0"/>
    <x v="1"/>
    <x v="5"/>
    <x v="29"/>
    <x v="1"/>
    <x v="0"/>
    <n v="0"/>
    <n v="2199"/>
    <n v="1"/>
    <x v="1"/>
    <x v="8"/>
    <x v="0"/>
  </r>
  <r>
    <s v="UT-100272"/>
    <d v="2024-12-12T00:00:00"/>
    <s v="CUST_10271"/>
    <x v="0"/>
    <s v="BOT-NYS-M"/>
    <x v="2"/>
    <s v="NYE Skirt"/>
    <n v="2399"/>
    <n v="1"/>
    <n v="2399"/>
    <s v=""/>
    <n v="0"/>
    <s v="UPI"/>
    <x v="2"/>
    <s v="Thiruvananthapuram"/>
    <s v="Kerala"/>
    <x v="1"/>
    <d v="2024-12-29T00:00:00"/>
    <x v="0"/>
    <x v="1"/>
    <x v="1"/>
    <x v="33"/>
    <x v="1"/>
    <x v="0"/>
    <n v="0"/>
    <n v="2399"/>
    <n v="1"/>
    <x v="1"/>
    <x v="8"/>
    <x v="0"/>
  </r>
  <r>
    <s v="UT-100275"/>
    <d v="2024-12-13T00:00:00"/>
    <s v="CUST_10274"/>
    <x v="0"/>
    <s v="TOP-GLS-M"/>
    <x v="0"/>
    <s v="Glass Bead Top"/>
    <n v="2399"/>
    <n v="1"/>
    <n v="2399"/>
    <s v=""/>
    <n v="0"/>
    <s v="Debit Card"/>
    <x v="2"/>
    <s v="Rajkot"/>
    <s v="Gujarat"/>
    <x v="0"/>
    <d v="2024-12-30T00:00:00"/>
    <x v="0"/>
    <x v="1"/>
    <x v="3"/>
    <x v="34"/>
    <x v="1"/>
    <x v="0"/>
    <n v="0"/>
    <n v="2399"/>
    <n v="1"/>
    <x v="1"/>
    <x v="8"/>
    <x v="0"/>
  </r>
  <r>
    <s v="UT-100114"/>
    <d v="2024-10-28T00:00:00"/>
    <s v="CUST_10113"/>
    <x v="1"/>
    <s v="ACC-CLT-OS"/>
    <x v="3"/>
    <s v="Festive Clutch"/>
    <n v="1599"/>
    <n v="1"/>
    <n v="1599"/>
    <s v="DIWALI40"/>
    <n v="40"/>
    <s v="Credit Card"/>
    <x v="0"/>
    <s v="Lucknow"/>
    <s v="Uttar Pradesh"/>
    <x v="2"/>
    <d v="2024-11-03T00:00:00"/>
    <x v="0"/>
    <x v="0"/>
    <x v="0"/>
    <x v="0"/>
    <x v="0"/>
    <x v="0"/>
    <n v="639.6"/>
    <n v="1559"/>
    <n v="0.9749843652282677"/>
    <x v="0"/>
    <x v="9"/>
    <x v="0"/>
  </r>
  <r>
    <s v="UT-100115"/>
    <d v="2024-10-28T00:00:00"/>
    <s v="CUST_10114"/>
    <x v="0"/>
    <s v="BOT-ETH-M"/>
    <x v="2"/>
    <s v="Palazzo Pants"/>
    <n v="1899"/>
    <n v="1"/>
    <n v="1899"/>
    <s v="DIWALI40"/>
    <n v="40"/>
    <s v="COD"/>
    <x v="2"/>
    <s v="Chennai"/>
    <s v="Tamil Nadu"/>
    <x v="1"/>
    <m/>
    <x v="2"/>
    <x v="0"/>
    <x v="0"/>
    <x v="0"/>
    <x v="0"/>
    <x v="0"/>
    <n v="759.6"/>
    <n v="1859"/>
    <n v="0.97893628225381779"/>
    <x v="0"/>
    <x v="9"/>
    <x v="1"/>
  </r>
  <r>
    <s v="UT-100276"/>
    <d v="2024-12-13T00:00:00"/>
    <s v="CUST_10275"/>
    <x v="0"/>
    <s v="DRS-FNL-L"/>
    <x v="4"/>
    <s v="Finale Gown"/>
    <n v="5999"/>
    <n v="1"/>
    <n v="5999"/>
    <s v=""/>
    <n v="0"/>
    <s v="Credit Card"/>
    <x v="1"/>
    <s v="Kanpur"/>
    <s v="Uttar Pradesh"/>
    <x v="2"/>
    <d v="2024-12-31T00:00:00"/>
    <x v="0"/>
    <x v="1"/>
    <x v="2"/>
    <x v="35"/>
    <x v="1"/>
    <x v="0"/>
    <n v="0"/>
    <n v="5999"/>
    <n v="1"/>
    <x v="1"/>
    <x v="8"/>
    <x v="0"/>
  </r>
  <r>
    <s v="UT-100278"/>
    <d v="2024-12-14T00:00:00"/>
    <s v="CUST_10277"/>
    <x v="1"/>
    <s v="OUT-CHR-M"/>
    <x v="1"/>
    <s v="Christmas Jacket"/>
    <n v="4999"/>
    <n v="1"/>
    <n v="4999"/>
    <s v=""/>
    <n v="0"/>
    <s v="COD"/>
    <x v="2"/>
    <s v="Delhi"/>
    <s v="Delhi"/>
    <x v="2"/>
    <d v="2024-12-31T00:00:00"/>
    <x v="0"/>
    <x v="1"/>
    <x v="4"/>
    <x v="36"/>
    <x v="1"/>
    <x v="0"/>
    <n v="0"/>
    <n v="4999"/>
    <n v="1"/>
    <x v="1"/>
    <x v="8"/>
    <x v="1"/>
  </r>
  <r>
    <s v="UT-100279"/>
    <d v="2024-12-14T00:00:00"/>
    <s v="CUST_10278"/>
    <x v="0"/>
    <s v="ACC-BLS-OS"/>
    <x v="3"/>
    <s v="Blush Bag"/>
    <n v="1699"/>
    <n v="1"/>
    <n v="1699"/>
    <s v=""/>
    <n v="0"/>
    <s v="Wallet"/>
    <x v="1"/>
    <s v="Kolkata"/>
    <s v="West Bengal"/>
    <x v="2"/>
    <d v="2024-12-30T00:00:00"/>
    <x v="0"/>
    <x v="1"/>
    <x v="5"/>
    <x v="33"/>
    <x v="1"/>
    <x v="0"/>
    <n v="0"/>
    <n v="1699"/>
    <n v="1"/>
    <x v="1"/>
    <x v="8"/>
    <x v="0"/>
  </r>
  <r>
    <s v="UT-100281"/>
    <d v="2024-12-14T00:00:00"/>
    <s v="CUST_10280"/>
    <x v="0"/>
    <s v="DRS-EVE-S"/>
    <x v="4"/>
    <s v="Evening Elegance"/>
    <n v="4599"/>
    <n v="1"/>
    <n v="4599"/>
    <s v=""/>
    <n v="0"/>
    <s v="Credit Card"/>
    <x v="2"/>
    <s v="Hyderabad"/>
    <s v="Telangana"/>
    <x v="1"/>
    <d v="2025-01-02T00:00:00"/>
    <x v="0"/>
    <x v="1"/>
    <x v="3"/>
    <x v="37"/>
    <x v="1"/>
    <x v="0"/>
    <n v="0"/>
    <n v="4599"/>
    <n v="1"/>
    <x v="1"/>
    <x v="8"/>
    <x v="0"/>
  </r>
  <r>
    <s v="UT-100283"/>
    <d v="2024-12-15T00:00:00"/>
    <s v="CUST_10282"/>
    <x v="1"/>
    <s v="OUT-NYB-L"/>
    <x v="1"/>
    <s v="NYE Blazer"/>
    <n v="5799"/>
    <n v="1"/>
    <n v="5799"/>
    <s v="Dec20"/>
    <n v="20"/>
    <s v="COD"/>
    <x v="0"/>
    <s v="Ahmedabad"/>
    <s v="Gujarat"/>
    <x v="0"/>
    <d v="2025-01-03T00:00:00"/>
    <x v="0"/>
    <x v="1"/>
    <x v="1"/>
    <x v="38"/>
    <x v="1"/>
    <x v="0"/>
    <n v="1159.8"/>
    <n v="5779"/>
    <n v="0.99655112950508706"/>
    <x v="1"/>
    <x v="8"/>
    <x v="1"/>
  </r>
  <r>
    <s v="UT-100285"/>
    <d v="2024-12-15T00:00:00"/>
    <s v="CUST_10284"/>
    <x v="0"/>
    <s v="TOP-LST-S"/>
    <x v="0"/>
    <s v="Last Dance Top"/>
    <n v="1999"/>
    <n v="1"/>
    <n v="1999"/>
    <s v=""/>
    <n v="0"/>
    <s v="Debit Card"/>
    <x v="1"/>
    <s v="Lucknow"/>
    <s v="Uttar Pradesh"/>
    <x v="2"/>
    <d v="2025-01-03T00:00:00"/>
    <x v="0"/>
    <x v="1"/>
    <x v="2"/>
    <x v="37"/>
    <x v="1"/>
    <x v="0"/>
    <n v="0"/>
    <n v="1999"/>
    <n v="1"/>
    <x v="1"/>
    <x v="8"/>
    <x v="0"/>
  </r>
  <r>
    <s v="UT-100232"/>
    <d v="2024-12-02T00:00:00"/>
    <s v="CUST_10231"/>
    <x v="0"/>
    <s v="OUT-WND-L"/>
    <x v="1"/>
    <s v="Windbreaker"/>
    <n v="3299"/>
    <n v="1"/>
    <n v="3299"/>
    <s v=""/>
    <n v="0"/>
    <s v="UPI"/>
    <x v="0"/>
    <s v="Srinagar"/>
    <s v="Jammu &amp; Kashmir"/>
    <x v="2"/>
    <d v="2024-12-11T00:00:00"/>
    <x v="0"/>
    <x v="1"/>
    <x v="1"/>
    <x v="39"/>
    <x v="2"/>
    <x v="0"/>
    <n v="0"/>
    <n v="3299"/>
    <n v="1"/>
    <x v="1"/>
    <x v="10"/>
    <x v="0"/>
  </r>
  <r>
    <s v="UT-100234"/>
    <d v="2024-12-03T00:00:00"/>
    <s v="CUST_10233"/>
    <x v="0"/>
    <s v="TOP-SWT-S"/>
    <x v="0"/>
    <s v="Cropped Sweater"/>
    <n v="2199"/>
    <n v="1"/>
    <n v="2199"/>
    <s v=""/>
    <n v="0"/>
    <s v="Debit Card"/>
    <x v="1"/>
    <s v="Darjeeling"/>
    <s v="West Bengal"/>
    <x v="2"/>
    <d v="2024-12-12T00:00:00"/>
    <x v="0"/>
    <x v="1"/>
    <x v="3"/>
    <x v="40"/>
    <x v="1"/>
    <x v="0"/>
    <n v="0"/>
    <n v="2199"/>
    <n v="1"/>
    <x v="1"/>
    <x v="10"/>
    <x v="0"/>
  </r>
  <r>
    <s v="UT-100124"/>
    <d v="2024-10-30T00:00:00"/>
    <s v="CUST_10123"/>
    <x v="1"/>
    <s v="OUT-BLS-M"/>
    <x v="1"/>
    <s v="Brocade Blazer"/>
    <n v="4999"/>
    <n v="1"/>
    <n v="4999"/>
    <s v="DIWALI40"/>
    <n v="40"/>
    <s v="Debit Card"/>
    <x v="2"/>
    <s v="Delhi"/>
    <s v="Delhi"/>
    <x v="2"/>
    <d v="2024-11-10T00:00:00"/>
    <x v="0"/>
    <x v="0"/>
    <x v="0"/>
    <x v="0"/>
    <x v="0"/>
    <x v="0"/>
    <n v="1999.6"/>
    <n v="4959"/>
    <n v="0.99199839967993597"/>
    <x v="0"/>
    <x v="9"/>
    <x v="0"/>
  </r>
  <r>
    <s v="UT-100125"/>
    <d v="2024-10-30T00:00:00"/>
    <s v="CUST_10124"/>
    <x v="0"/>
    <s v="ACC-MNG-OS"/>
    <x v="3"/>
    <s v="Maang Tikka Set"/>
    <n v="899"/>
    <n v="1"/>
    <n v="899"/>
    <s v="DIWALI40"/>
    <n v="40"/>
    <s v="UPI"/>
    <x v="0"/>
    <s v="Varanasi"/>
    <s v="Uttar Pradesh"/>
    <x v="2"/>
    <d v="2024-11-10T00:00:00"/>
    <x v="0"/>
    <x v="0"/>
    <x v="0"/>
    <x v="0"/>
    <x v="0"/>
    <x v="0"/>
    <n v="359.6"/>
    <n v="859"/>
    <n v="0.95550611790878759"/>
    <x v="0"/>
    <x v="9"/>
    <x v="0"/>
  </r>
  <r>
    <s v="UT-100236"/>
    <d v="2024-12-03T00:00:00"/>
    <s v="CUST_10235"/>
    <x v="0"/>
    <s v="BOT-WOL-L"/>
    <x v="2"/>
    <s v="Wool Trousers"/>
    <n v="2999"/>
    <n v="1"/>
    <n v="2999"/>
    <s v=""/>
    <n v="0"/>
    <s v="UPI"/>
    <x v="2"/>
    <s v="Shillong"/>
    <s v="Meghalaya"/>
    <x v="2"/>
    <d v="2024-12-14T00:00:00"/>
    <x v="0"/>
    <x v="1"/>
    <x v="5"/>
    <x v="41"/>
    <x v="1"/>
    <x v="0"/>
    <n v="0"/>
    <n v="2999"/>
    <n v="1"/>
    <x v="1"/>
    <x v="10"/>
    <x v="0"/>
  </r>
  <r>
    <s v="UT-100240"/>
    <d v="2024-12-04T00:00:00"/>
    <s v="CUST_10239"/>
    <x v="0"/>
    <s v="DRS-NYE-S"/>
    <x v="4"/>
    <s v="Sequin Party Dress"/>
    <n v="4999"/>
    <n v="1"/>
    <n v="4999"/>
    <s v=""/>
    <n v="0"/>
    <s v="Debit Card"/>
    <x v="1"/>
    <s v="Goa"/>
    <s v="Goa"/>
    <x v="0"/>
    <d v="2024-12-14T00:00:00"/>
    <x v="0"/>
    <x v="1"/>
    <x v="3"/>
    <x v="42"/>
    <x v="1"/>
    <x v="0"/>
    <n v="0"/>
    <n v="4999"/>
    <n v="1"/>
    <x v="1"/>
    <x v="10"/>
    <x v="0"/>
  </r>
  <r>
    <s v="UT-100242"/>
    <d v="2024-12-05T00:00:00"/>
    <s v="CUST_10241"/>
    <x v="0"/>
    <s v="BOT-VLV-S"/>
    <x v="2"/>
    <s v="Velvet Pants"/>
    <n v="2599"/>
    <n v="1"/>
    <n v="2599"/>
    <s v=""/>
    <n v="0"/>
    <s v="Credit Card"/>
    <x v="2"/>
    <s v="Bangalore"/>
    <s v="Karnataka"/>
    <x v="1"/>
    <d v="2024-12-15T00:00:00"/>
    <x v="0"/>
    <x v="1"/>
    <x v="4"/>
    <x v="43"/>
    <x v="1"/>
    <x v="0"/>
    <n v="0"/>
    <n v="2599"/>
    <n v="1"/>
    <x v="1"/>
    <x v="10"/>
    <x v="0"/>
  </r>
  <r>
    <s v="UT-100243"/>
    <d v="2024-12-05T00:00:00"/>
    <s v="CUST_10242"/>
    <x v="1"/>
    <s v="OUT-FUR-L"/>
    <x v="1"/>
    <s v="Faux Fur Coat"/>
    <n v="8999"/>
    <n v="1"/>
    <n v="8999"/>
    <s v="Dec20"/>
    <n v="20"/>
    <s v="Wallet"/>
    <x v="1"/>
    <s v="Delhi"/>
    <s v="Delhi"/>
    <x v="2"/>
    <d v="2024-12-17T00:00:00"/>
    <x v="0"/>
    <x v="1"/>
    <x v="3"/>
    <x v="44"/>
    <x v="2"/>
    <x v="0"/>
    <n v="1799.8"/>
    <n v="8979"/>
    <n v="0.99777753083675969"/>
    <x v="1"/>
    <x v="10"/>
    <x v="0"/>
  </r>
  <r>
    <s v="UT-100130"/>
    <d v="2024-10-31T00:00:00"/>
    <s v="CUST_10129"/>
    <x v="0"/>
    <s v="ACC-TKA-OS"/>
    <x v="3"/>
    <s v="Tikka Headpiece"/>
    <n v="1199"/>
    <n v="1"/>
    <n v="1199"/>
    <s v="DIWALI40"/>
    <n v="40"/>
    <s v="COD"/>
    <x v="0"/>
    <s v="Gurgaon"/>
    <s v="Haryana"/>
    <x v="2"/>
    <m/>
    <x v="2"/>
    <x v="0"/>
    <x v="0"/>
    <x v="0"/>
    <x v="0"/>
    <x v="0"/>
    <n v="479.6"/>
    <n v="1159"/>
    <n v="0.96663886572143454"/>
    <x v="0"/>
    <x v="9"/>
    <x v="1"/>
  </r>
  <r>
    <s v="UT-100246"/>
    <d v="2024-12-06T00:00:00"/>
    <s v="CUST_10245"/>
    <x v="0"/>
    <s v="DRS-GLT-M"/>
    <x v="4"/>
    <s v="Glitter Dress"/>
    <n v="3799"/>
    <n v="1"/>
    <n v="3799"/>
    <s v="Dec20"/>
    <n v="20"/>
    <s v="COD"/>
    <x v="1"/>
    <s v="Pune"/>
    <s v="Maharashtra"/>
    <x v="0"/>
    <d v="2024-12-18T00:00:00"/>
    <x v="0"/>
    <x v="1"/>
    <x v="5"/>
    <x v="45"/>
    <x v="1"/>
    <x v="0"/>
    <n v="759.8"/>
    <n v="3779"/>
    <n v="0.99473545669913133"/>
    <x v="1"/>
    <x v="10"/>
    <x v="1"/>
  </r>
  <r>
    <s v="UT-100248"/>
    <d v="2024-12-06T00:00:00"/>
    <s v="CUST_10247"/>
    <x v="1"/>
    <s v="OUT-CPE-M"/>
    <x v="1"/>
    <s v="Velvet Cape"/>
    <n v="4599"/>
    <n v="1"/>
    <n v="4599"/>
    <s v="Dec20"/>
    <n v="20"/>
    <s v="UPI"/>
    <x v="2"/>
    <s v="Jaipur"/>
    <s v="Rajasthan"/>
    <x v="2"/>
    <d v="2024-12-19T00:00:00"/>
    <x v="0"/>
    <x v="1"/>
    <x v="3"/>
    <x v="46"/>
    <x v="1"/>
    <x v="0"/>
    <n v="919.8"/>
    <n v="4579"/>
    <n v="0.99565122852794086"/>
    <x v="1"/>
    <x v="10"/>
    <x v="0"/>
  </r>
  <r>
    <s v="UT-100133"/>
    <d v="2024-11-01T00:00:00"/>
    <s v="CUST_10132"/>
    <x v="0"/>
    <s v="BOT-BRC-L"/>
    <x v="2"/>
    <s v="Brocade Pants"/>
    <n v="2999"/>
    <n v="1"/>
    <n v="2999"/>
    <s v="DIWALI40"/>
    <n v="40"/>
    <s v="UPI"/>
    <x v="0"/>
    <s v="Patna"/>
    <s v="Bihar"/>
    <x v="2"/>
    <d v="2024-11-11T00:00:00"/>
    <x v="0"/>
    <x v="0"/>
    <x v="0"/>
    <x v="0"/>
    <x v="0"/>
    <x v="0"/>
    <n v="1199.5999999999999"/>
    <n v="2959"/>
    <n v="0.98666222074024679"/>
    <x v="3"/>
    <x v="9"/>
    <x v="0"/>
  </r>
  <r>
    <s v="UT-100252"/>
    <d v="2024-12-07T00:00:00"/>
    <s v="CUST_10251"/>
    <x v="0"/>
    <s v="BOT-SQN-M"/>
    <x v="2"/>
    <s v="Sequin Skirt"/>
    <n v="2199"/>
    <n v="1"/>
    <n v="2199"/>
    <s v=""/>
    <n v="0"/>
    <s v="COD"/>
    <x v="1"/>
    <s v="Delhi"/>
    <s v="Delhi"/>
    <x v="2"/>
    <d v="2024-12-21T00:00:00"/>
    <x v="0"/>
    <x v="1"/>
    <x v="2"/>
    <x v="47"/>
    <x v="2"/>
    <x v="0"/>
    <n v="0"/>
    <n v="2199"/>
    <n v="1"/>
    <x v="1"/>
    <x v="10"/>
    <x v="1"/>
  </r>
  <r>
    <s v="UT-100135"/>
    <d v="2024-11-01T00:00:00"/>
    <s v="CUST_10134"/>
    <x v="0"/>
    <s v="ACC-JHM-OS"/>
    <x v="3"/>
    <s v="Jhumka Earrings"/>
    <n v="999"/>
    <n v="2"/>
    <n v="1998"/>
    <s v="DIWALI40"/>
    <n v="40"/>
    <s v="Debit Card"/>
    <x v="1"/>
    <s v="Nagpur"/>
    <s v="Maharashtra"/>
    <x v="0"/>
    <d v="2024-11-11T00:00:00"/>
    <x v="0"/>
    <x v="0"/>
    <x v="0"/>
    <x v="0"/>
    <x v="0"/>
    <x v="0"/>
    <n v="799.2"/>
    <n v="1958"/>
    <n v="0.97997997997997999"/>
    <x v="3"/>
    <x v="9"/>
    <x v="0"/>
  </r>
  <r>
    <s v="UT-100255"/>
    <d v="2024-12-08T00:00:00"/>
    <s v="CUST_10254"/>
    <x v="0"/>
    <s v="TOP-OFF-M"/>
    <x v="0"/>
    <s v="Off-Shoulder Top"/>
    <n v="1699"/>
    <n v="2"/>
    <n v="3398"/>
    <s v=""/>
    <n v="0"/>
    <s v="Debit Card"/>
    <x v="1"/>
    <s v="Surat"/>
    <s v="Gujarat"/>
    <x v="0"/>
    <d v="2024-12-22T00:00:00"/>
    <x v="0"/>
    <x v="1"/>
    <x v="3"/>
    <x v="48"/>
    <x v="1"/>
    <x v="0"/>
    <n v="0"/>
    <n v="3398"/>
    <n v="1"/>
    <x v="1"/>
    <x v="10"/>
    <x v="0"/>
  </r>
  <r>
    <s v="UT-100256"/>
    <d v="2024-12-08T00:00:00"/>
    <s v="CUST_10255"/>
    <x v="0"/>
    <s v="DRS-BLB-S"/>
    <x v="4"/>
    <s v="Balloon Sleeve Dress"/>
    <n v="2799"/>
    <n v="1"/>
    <n v="2799"/>
    <s v="Dec20"/>
    <n v="20"/>
    <s v="Credit Card"/>
    <x v="0"/>
    <s v="Vadodara"/>
    <s v="Gujarat"/>
    <x v="0"/>
    <d v="2024-12-23T00:00:00"/>
    <x v="0"/>
    <x v="1"/>
    <x v="1"/>
    <x v="49"/>
    <x v="1"/>
    <x v="0"/>
    <n v="559.79999999999995"/>
    <n v="2779"/>
    <n v="0.99285459092533046"/>
    <x v="1"/>
    <x v="10"/>
    <x v="0"/>
  </r>
  <r>
    <s v="UT-100138"/>
    <d v="2024-11-02T00:00:00"/>
    <s v="CUST_10137"/>
    <x v="0"/>
    <s v="BOT-DHT-L"/>
    <x v="2"/>
    <s v="Dhoti Pants"/>
    <n v="1799"/>
    <n v="1"/>
    <n v="1799"/>
    <s v="DIWALI40"/>
    <n v="40"/>
    <s v="Credit Card"/>
    <x v="1"/>
    <s v="Vizag"/>
    <s v="Andhra Pradesh"/>
    <x v="1"/>
    <d v="2024-11-13T00:00:00"/>
    <x v="0"/>
    <x v="0"/>
    <x v="0"/>
    <x v="0"/>
    <x v="0"/>
    <x v="0"/>
    <n v="719.6"/>
    <n v="1759"/>
    <n v="0.97776542523624232"/>
    <x v="3"/>
    <x v="9"/>
    <x v="0"/>
  </r>
  <r>
    <s v="UT-100208"/>
    <d v="2024-11-25T00:00:00"/>
    <s v="CUST_10207"/>
    <x v="1"/>
    <s v="BOT-EMB-S"/>
    <x v="2"/>
    <s v="Embroidered Pants"/>
    <n v="2099"/>
    <n v="1"/>
    <n v="2099"/>
    <s v=""/>
    <n v="0"/>
    <s v="UPI"/>
    <x v="0"/>
    <s v="Lucknow"/>
    <s v="Uttar Pradesh"/>
    <x v="2"/>
    <d v="2024-12-09T00:00:00"/>
    <x v="0"/>
    <x v="1"/>
    <x v="4"/>
    <x v="42"/>
    <x v="1"/>
    <x v="0"/>
    <n v="0"/>
    <n v="2099"/>
    <n v="1"/>
    <x v="3"/>
    <x v="11"/>
    <x v="0"/>
  </r>
  <r>
    <s v="UT-100209"/>
    <d v="2024-11-25T00:00:00"/>
    <s v="CUST_10208"/>
    <x v="0"/>
    <s v="OUT-NYE-M"/>
    <x v="1"/>
    <s v="NYE Jacket"/>
    <n v="5799"/>
    <n v="1"/>
    <n v="5799"/>
    <s v="Nov15"/>
    <n v="15"/>
    <s v="COD"/>
    <x v="2"/>
    <s v="Bangalore"/>
    <s v="Karnataka"/>
    <x v="1"/>
    <d v="2024-12-12T00:00:00"/>
    <x v="0"/>
    <x v="1"/>
    <x v="3"/>
    <x v="44"/>
    <x v="1"/>
    <x v="0"/>
    <n v="869.85"/>
    <n v="5784"/>
    <n v="0.99741334712881535"/>
    <x v="3"/>
    <x v="11"/>
    <x v="1"/>
  </r>
  <r>
    <s v="UT-100211"/>
    <d v="2024-11-26T00:00:00"/>
    <s v="CUST_10210"/>
    <x v="0"/>
    <s v="TOP-FTR-S"/>
    <x v="0"/>
    <s v="Feather Top"/>
    <n v="1899"/>
    <n v="1"/>
    <n v="1899"/>
    <s v=""/>
    <n v="0"/>
    <s v="Wallet"/>
    <x v="0"/>
    <s v="Delhi"/>
    <s v="Delhi"/>
    <x v="2"/>
    <d v="2024-12-11T00:00:00"/>
    <x v="0"/>
    <x v="1"/>
    <x v="2"/>
    <x v="43"/>
    <x v="1"/>
    <x v="0"/>
    <n v="0"/>
    <n v="1899"/>
    <n v="1"/>
    <x v="3"/>
    <x v="11"/>
    <x v="0"/>
  </r>
  <r>
    <s v="UT-100213"/>
    <d v="2024-11-26T00:00:00"/>
    <s v="CUST_10212"/>
    <x v="1"/>
    <s v="BOT-SQN-L"/>
    <x v="2"/>
    <s v="Sequin Skirt"/>
    <n v="2699"/>
    <n v="1"/>
    <n v="2699"/>
    <s v="Nov15"/>
    <n v="15"/>
    <s v="UPI"/>
    <x v="1"/>
    <s v="Noida"/>
    <s v="Uttar Pradesh"/>
    <x v="2"/>
    <d v="2024-12-11T00:00:00"/>
    <x v="0"/>
    <x v="1"/>
    <x v="5"/>
    <x v="50"/>
    <x v="1"/>
    <x v="0"/>
    <n v="404.85"/>
    <n v="2684"/>
    <n v="0.99444238606891444"/>
    <x v="3"/>
    <x v="11"/>
    <x v="0"/>
  </r>
  <r>
    <s v="UT-100143"/>
    <d v="2024-11-03T00:00:00"/>
    <s v="CUST_10142"/>
    <x v="1"/>
    <s v="BOT-GRR-M"/>
    <x v="2"/>
    <s v="Gharara Pants"/>
    <n v="2599"/>
    <n v="1"/>
    <n v="2599"/>
    <s v="DIWALI40"/>
    <n v="40"/>
    <s v="COD"/>
    <x v="2"/>
    <s v="Kanpur"/>
    <s v="Uttar Pradesh"/>
    <x v="2"/>
    <d v="2024-11-15T00:00:00"/>
    <x v="0"/>
    <x v="0"/>
    <x v="0"/>
    <x v="0"/>
    <x v="0"/>
    <x v="0"/>
    <n v="1039.5999999999999"/>
    <n v="2559"/>
    <n v="0.98460946517891501"/>
    <x v="3"/>
    <x v="9"/>
    <x v="1"/>
  </r>
  <r>
    <s v="UT-100214"/>
    <d v="2024-11-27T00:00:00"/>
    <s v="CUST_10213"/>
    <x v="0"/>
    <s v="OUT-PRT-M"/>
    <x v="1"/>
    <s v="Party Jacket"/>
    <n v="4999"/>
    <n v="1"/>
    <n v="4999"/>
    <s v=""/>
    <n v="0"/>
    <s v="Credit Card"/>
    <x v="0"/>
    <s v="Gurgaon"/>
    <s v="Haryana"/>
    <x v="2"/>
    <d v="2024-12-14T00:00:00"/>
    <x v="0"/>
    <x v="1"/>
    <x v="3"/>
    <x v="45"/>
    <x v="1"/>
    <x v="0"/>
    <n v="0"/>
    <n v="4999"/>
    <n v="1"/>
    <x v="3"/>
    <x v="11"/>
    <x v="0"/>
  </r>
  <r>
    <s v="UT-100145"/>
    <d v="2024-11-04T00:00:00"/>
    <s v="CUST_10144"/>
    <x v="0"/>
    <s v="ACC-MNP-OS"/>
    <x v="3"/>
    <s v="Mang Patti"/>
    <n v="799"/>
    <n v="1"/>
    <n v="799"/>
    <s v="DIWALI40"/>
    <n v="40"/>
    <s v="UPI"/>
    <x v="0"/>
    <s v="Delhi"/>
    <s v="Delhi"/>
    <x v="2"/>
    <d v="2024-11-16T00:00:00"/>
    <x v="0"/>
    <x v="0"/>
    <x v="0"/>
    <x v="0"/>
    <x v="0"/>
    <x v="0"/>
    <n v="319.60000000000002"/>
    <n v="759"/>
    <n v="0.94993742177722151"/>
    <x v="3"/>
    <x v="12"/>
    <x v="0"/>
  </r>
  <r>
    <s v="UT-100216"/>
    <d v="2024-11-27T00:00:00"/>
    <s v="CUST_10215"/>
    <x v="0"/>
    <s v="TOP-GLT-L"/>
    <x v="0"/>
    <s v="Glitter Tank"/>
    <n v="1599"/>
    <n v="1"/>
    <n v="1599"/>
    <s v=""/>
    <n v="0"/>
    <s v="UPI"/>
    <x v="1"/>
    <s v="Surat"/>
    <s v="Gujarat"/>
    <x v="0"/>
    <d v="2024-12-13T00:00:00"/>
    <x v="0"/>
    <x v="1"/>
    <x v="1"/>
    <x v="44"/>
    <x v="1"/>
    <x v="0"/>
    <n v="0"/>
    <n v="1599"/>
    <n v="1"/>
    <x v="3"/>
    <x v="11"/>
    <x v="0"/>
  </r>
  <r>
    <s v="UT-100218"/>
    <d v="2024-11-28T00:00:00"/>
    <s v="CUST_10217"/>
    <x v="1"/>
    <s v="BOT-MTL-M"/>
    <x v="2"/>
    <s v="Metallic Pants"/>
    <n v="2399"/>
    <n v="1"/>
    <n v="2399"/>
    <s v=""/>
    <n v="0"/>
    <s v="Debit Card"/>
    <x v="2"/>
    <s v="Bhopal"/>
    <s v="Madhya Pradesh"/>
    <x v="0"/>
    <d v="2024-12-13T00:00:00"/>
    <x v="0"/>
    <x v="1"/>
    <x v="4"/>
    <x v="51"/>
    <x v="1"/>
    <x v="0"/>
    <n v="0"/>
    <n v="2399"/>
    <n v="1"/>
    <x v="3"/>
    <x v="11"/>
    <x v="0"/>
  </r>
  <r>
    <s v="UT-100148"/>
    <d v="2024-11-05T00:00:00"/>
    <s v="CUST_10147"/>
    <x v="1"/>
    <s v="BOT-PTL-L"/>
    <x v="2"/>
    <s v="Patiala Pants"/>
    <n v="1499"/>
    <n v="1"/>
    <n v="1499"/>
    <s v="DIWALI40"/>
    <n v="40"/>
    <s v="Credit Card"/>
    <x v="0"/>
    <s v="Hyderabad"/>
    <s v="Telangana"/>
    <x v="1"/>
    <d v="2024-11-17T00:00:00"/>
    <x v="0"/>
    <x v="0"/>
    <x v="0"/>
    <x v="0"/>
    <x v="0"/>
    <x v="0"/>
    <n v="599.6"/>
    <n v="1459"/>
    <n v="0.9733155436957972"/>
    <x v="3"/>
    <x v="12"/>
    <x v="0"/>
  </r>
  <r>
    <s v="UT-100219"/>
    <d v="2024-11-28T00:00:00"/>
    <s v="CUST_10218"/>
    <x v="0"/>
    <s v="OUT-FRM-L"/>
    <x v="1"/>
    <s v="Formal Coat"/>
    <n v="6499"/>
    <n v="1"/>
    <n v="6499"/>
    <s v=""/>
    <n v="0"/>
    <s v="Credit Card"/>
    <x v="1"/>
    <s v="Nagpur"/>
    <s v="Maharashtra"/>
    <x v="0"/>
    <d v="2024-12-16T00:00:00"/>
    <x v="0"/>
    <x v="1"/>
    <x v="3"/>
    <x v="46"/>
    <x v="1"/>
    <x v="0"/>
    <n v="0"/>
    <n v="6499"/>
    <n v="1"/>
    <x v="3"/>
    <x v="11"/>
    <x v="0"/>
  </r>
  <r>
    <s v="UT-100222"/>
    <d v="2024-11-29T00:00:00"/>
    <s v="CUST_10221"/>
    <x v="0"/>
    <s v="DRS-NYE-L"/>
    <x v="4"/>
    <s v="New Year Gown"/>
    <n v="5499"/>
    <n v="1"/>
    <n v="5499"/>
    <s v="Nov15"/>
    <n v="15"/>
    <s v="Credit Card"/>
    <x v="1"/>
    <s v="Vizag"/>
    <s v="Andhra Pradesh"/>
    <x v="1"/>
    <d v="2024-12-17T00:00:00"/>
    <x v="0"/>
    <x v="1"/>
    <x v="5"/>
    <x v="47"/>
    <x v="1"/>
    <x v="0"/>
    <n v="824.85"/>
    <n v="5484"/>
    <n v="0.99727223131478449"/>
    <x v="3"/>
    <x v="11"/>
    <x v="0"/>
  </r>
  <r>
    <s v="UT-100151"/>
    <d v="2024-11-06T00:00:00"/>
    <s v="CUST_10150"/>
    <x v="0"/>
    <s v="TOP-KSH-L"/>
    <x v="0"/>
    <s v="Kashmiri Top"/>
    <n v="2999"/>
    <n v="1"/>
    <n v="2999"/>
    <s v=""/>
    <n v="0"/>
    <s v="Credit Card"/>
    <x v="0"/>
    <s v="Jaipur"/>
    <s v="Rajasthan"/>
    <x v="2"/>
    <d v="2024-11-19T00:00:00"/>
    <x v="0"/>
    <x v="0"/>
    <x v="0"/>
    <x v="0"/>
    <x v="0"/>
    <x v="0"/>
    <n v="0"/>
    <n v="2999"/>
    <n v="1"/>
    <x v="3"/>
    <x v="12"/>
    <x v="0"/>
  </r>
  <r>
    <s v="UT-100224"/>
    <d v="2024-11-30T00:00:00"/>
    <s v="CUST_10223"/>
    <x v="0"/>
    <s v="OUT-GLM-M"/>
    <x v="1"/>
    <s v="Glam Jacket"/>
    <n v="5299"/>
    <n v="1"/>
    <n v="5299"/>
    <s v=""/>
    <n v="0"/>
    <s v="Debit Card"/>
    <x v="2"/>
    <s v="Mysore"/>
    <s v="Karnataka"/>
    <x v="1"/>
    <d v="2024-12-18T00:00:00"/>
    <x v="0"/>
    <x v="1"/>
    <x v="2"/>
    <x v="48"/>
    <x v="1"/>
    <x v="0"/>
    <n v="0"/>
    <n v="5299"/>
    <n v="1"/>
    <x v="3"/>
    <x v="11"/>
    <x v="0"/>
  </r>
  <r>
    <s v="UT-100153"/>
    <d v="2024-11-06T00:00:00"/>
    <s v="CUST_10152"/>
    <x v="1"/>
    <s v="BOT-KLN-M"/>
    <x v="2"/>
    <s v="Kalamkari Pants"/>
    <n v="1699"/>
    <n v="1"/>
    <n v="1699"/>
    <s v="Nov15"/>
    <n v="15"/>
    <s v="Debit Card"/>
    <x v="1"/>
    <s v="Bangalore"/>
    <s v="Karnataka"/>
    <x v="1"/>
    <d v="2024-11-18T00:00:00"/>
    <x v="0"/>
    <x v="0"/>
    <x v="0"/>
    <x v="0"/>
    <x v="0"/>
    <x v="0"/>
    <n v="254.85"/>
    <n v="1684"/>
    <n v="0.99117127722189524"/>
    <x v="3"/>
    <x v="12"/>
    <x v="0"/>
  </r>
  <r>
    <s v="UT-100225"/>
    <d v="2024-11-30T00:00:00"/>
    <s v="CUST_10224"/>
    <x v="0"/>
    <s v="ACC-GEM-OS"/>
    <x v="3"/>
    <s v="Gemstone Ring"/>
    <n v="1099"/>
    <n v="1"/>
    <n v="1099"/>
    <s v=""/>
    <n v="0"/>
    <s v="UPI"/>
    <x v="1"/>
    <s v="Vadodara"/>
    <s v="Gujarat"/>
    <x v="0"/>
    <d v="2024-12-16T00:00:00"/>
    <x v="0"/>
    <x v="1"/>
    <x v="3"/>
    <x v="46"/>
    <x v="1"/>
    <x v="0"/>
    <n v="0"/>
    <n v="1099"/>
    <n v="1"/>
    <x v="3"/>
    <x v="11"/>
    <x v="0"/>
  </r>
  <r>
    <s v="UT-100155"/>
    <d v="2024-11-07T00:00:00"/>
    <s v="CUST_10154"/>
    <x v="0"/>
    <s v="ACC-CHN-OS"/>
    <x v="3"/>
    <s v="Choker Necklace"/>
    <n v="899"/>
    <n v="1"/>
    <n v="899"/>
    <s v=""/>
    <n v="0"/>
    <s v="COD"/>
    <x v="2"/>
    <s v="Delhi"/>
    <s v="Delhi"/>
    <x v="2"/>
    <d v="2024-11-19T00:00:00"/>
    <x v="0"/>
    <x v="0"/>
    <x v="0"/>
    <x v="0"/>
    <x v="0"/>
    <x v="0"/>
    <n v="0"/>
    <n v="899"/>
    <n v="1"/>
    <x v="3"/>
    <x v="12"/>
    <x v="1"/>
  </r>
  <r>
    <s v="UT-100227"/>
    <d v="2024-12-01T00:00:00"/>
    <s v="CUST_10226"/>
    <x v="0"/>
    <s v="OUT-COT-M"/>
    <x v="1"/>
    <s v="Puffer Coat"/>
    <n v="6499"/>
    <n v="1"/>
    <n v="6499"/>
    <s v="Dec20"/>
    <n v="20"/>
    <s v="COD"/>
    <x v="2"/>
    <s v="Delhi"/>
    <s v="Delhi"/>
    <x v="2"/>
    <d v="2024-12-08T00:00:00"/>
    <x v="0"/>
    <x v="1"/>
    <x v="4"/>
    <x v="52"/>
    <x v="2"/>
    <x v="0"/>
    <n v="1299.8"/>
    <n v="6479"/>
    <n v="0.99692260347745809"/>
    <x v="1"/>
    <x v="11"/>
    <x v="1"/>
  </r>
  <r>
    <s v="UT-100157"/>
    <d v="2024-11-08T00:00:00"/>
    <s v="CUST_10156"/>
    <x v="0"/>
    <s v="DRS-BLK-L"/>
    <x v="4"/>
    <s v="Block Print Dress"/>
    <n v="2599"/>
    <n v="1"/>
    <n v="2599"/>
    <s v=""/>
    <n v="0"/>
    <s v="Wallet"/>
    <x v="0"/>
    <s v="Noida"/>
    <s v="Uttar Pradesh"/>
    <x v="2"/>
    <d v="2024-11-22T00:00:00"/>
    <x v="0"/>
    <x v="0"/>
    <x v="0"/>
    <x v="0"/>
    <x v="0"/>
    <x v="0"/>
    <n v="0"/>
    <n v="2599"/>
    <n v="1"/>
    <x v="3"/>
    <x v="12"/>
    <x v="0"/>
  </r>
  <r>
    <s v="UT-100229"/>
    <d v="2024-12-01T00:00:00"/>
    <s v="CUST_10228"/>
    <x v="0"/>
    <s v="DRS-PLT-M"/>
    <x v="4"/>
    <s v="Pleated Dress"/>
    <n v="2899"/>
    <n v="1"/>
    <n v="2899"/>
    <s v="Dec20"/>
    <n v="20"/>
    <s v="Debit Card"/>
    <x v="0"/>
    <s v="Amritsar"/>
    <s v="Punjab"/>
    <x v="2"/>
    <d v="2024-12-09T00:00:00"/>
    <x v="0"/>
    <x v="1"/>
    <x v="3"/>
    <x v="53"/>
    <x v="1"/>
    <x v="0"/>
    <n v="579.79999999999995"/>
    <n v="2879"/>
    <n v="0.99310106933425324"/>
    <x v="1"/>
    <x v="11"/>
    <x v="0"/>
  </r>
  <r>
    <s v="UT-100159"/>
    <d v="2024-11-08T00:00:00"/>
    <s v="CUST_10158"/>
    <x v="0"/>
    <s v="OUT-EMB-M"/>
    <x v="1"/>
    <s v="Embellished Jacket"/>
    <n v="5299"/>
    <n v="1"/>
    <n v="5299"/>
    <s v="Nov15"/>
    <n v="15"/>
    <s v="Debit Card"/>
    <x v="1"/>
    <s v="Indore"/>
    <s v="Madhya Pradesh"/>
    <x v="0"/>
    <d v="2024-11-23T00:00:00"/>
    <x v="0"/>
    <x v="0"/>
    <x v="0"/>
    <x v="0"/>
    <x v="0"/>
    <x v="0"/>
    <n v="794.85"/>
    <n v="5284"/>
    <n v="0.99716927722211735"/>
    <x v="3"/>
    <x v="12"/>
    <x v="0"/>
  </r>
  <r>
    <s v="UT-100188"/>
    <d v="2024-11-18T00:00:00"/>
    <s v="CUST_10187"/>
    <x v="1"/>
    <s v="BOT-GLT-S"/>
    <x v="2"/>
    <s v="Glitter Pants"/>
    <n v="2299"/>
    <n v="1"/>
    <n v="2299"/>
    <s v=""/>
    <n v="0"/>
    <s v="UPI"/>
    <x v="2"/>
    <s v="Surat"/>
    <s v="Gujarat"/>
    <x v="0"/>
    <d v="2024-12-01T00:00:00"/>
    <x v="0"/>
    <x v="1"/>
    <x v="3"/>
    <x v="53"/>
    <x v="1"/>
    <x v="0"/>
    <n v="0"/>
    <n v="2299"/>
    <n v="1"/>
    <x v="3"/>
    <x v="13"/>
    <x v="0"/>
  </r>
  <r>
    <s v="UT-100161"/>
    <d v="2024-11-09T00:00:00"/>
    <s v="CUST_10160"/>
    <x v="0"/>
    <s v="TOP-PRN-L"/>
    <x v="0"/>
    <s v="Printed Kurta"/>
    <n v="2099"/>
    <n v="1"/>
    <n v="2099"/>
    <s v=""/>
    <n v="0"/>
    <s v="COD"/>
    <x v="2"/>
    <s v="Patna"/>
    <s v="Bihar"/>
    <x v="2"/>
    <m/>
    <x v="2"/>
    <x v="0"/>
    <x v="0"/>
    <x v="0"/>
    <x v="0"/>
    <x v="0"/>
    <n v="0"/>
    <n v="2099"/>
    <n v="1"/>
    <x v="3"/>
    <x v="12"/>
    <x v="1"/>
  </r>
  <r>
    <s v="UT-100189"/>
    <d v="2024-11-18T00:00:00"/>
    <s v="CUST_10188"/>
    <x v="0"/>
    <s v="OUT-FXF-M"/>
    <x v="1"/>
    <s v="Faux Fur Jacket"/>
    <n v="5999"/>
    <n v="1"/>
    <n v="5999"/>
    <s v="Nov15"/>
    <n v="15"/>
    <s v="Debit Card"/>
    <x v="1"/>
    <s v="Patna"/>
    <s v="Bihar"/>
    <x v="2"/>
    <d v="2024-12-04T00:00:00"/>
    <x v="0"/>
    <x v="1"/>
    <x v="1"/>
    <x v="39"/>
    <x v="1"/>
    <x v="0"/>
    <n v="899.85"/>
    <n v="5984"/>
    <n v="0.99749958326387733"/>
    <x v="3"/>
    <x v="13"/>
    <x v="0"/>
  </r>
  <r>
    <s v="UT-100163"/>
    <d v="2024-11-10T00:00:00"/>
    <s v="CUST_10162"/>
    <x v="1"/>
    <s v="BOT-DOT-M"/>
    <x v="2"/>
    <s v="Polka Dot Pants"/>
    <n v="1799"/>
    <n v="1"/>
    <n v="1799"/>
    <s v=""/>
    <n v="0"/>
    <s v="Wallet"/>
    <x v="0"/>
    <s v="Nagpur"/>
    <s v="Maharashtra"/>
    <x v="0"/>
    <d v="2024-11-22T00:00:00"/>
    <x v="0"/>
    <x v="0"/>
    <x v="0"/>
    <x v="0"/>
    <x v="0"/>
    <x v="0"/>
    <n v="0"/>
    <n v="1799"/>
    <n v="1"/>
    <x v="3"/>
    <x v="12"/>
    <x v="0"/>
  </r>
  <r>
    <s v="UT-100192"/>
    <d v="2024-11-19T00:00:00"/>
    <s v="CUST_10191"/>
    <x v="0"/>
    <s v="DRS-VLR-S"/>
    <x v="4"/>
    <s v="Velour Dress"/>
    <n v="2999"/>
    <n v="1"/>
    <n v="2999"/>
    <s v=""/>
    <n v="0"/>
    <s v="UPI"/>
    <x v="1"/>
    <s v="Coimbatore"/>
    <s v="Tamil Nadu"/>
    <x v="1"/>
    <d v="2024-12-05T00:00:00"/>
    <x v="0"/>
    <x v="1"/>
    <x v="4"/>
    <x v="40"/>
    <x v="1"/>
    <x v="0"/>
    <n v="0"/>
    <n v="2999"/>
    <n v="1"/>
    <x v="3"/>
    <x v="13"/>
    <x v="0"/>
  </r>
  <r>
    <s v="UT-100165"/>
    <d v="2024-11-10T00:00:00"/>
    <s v="CUST_10164"/>
    <x v="0"/>
    <s v="ACC-TBR-OS"/>
    <x v="3"/>
    <s v="Tassel Earrings"/>
    <n v="699"/>
    <n v="2"/>
    <n v="1398"/>
    <s v=""/>
    <n v="0"/>
    <s v="Debit Card"/>
    <x v="1"/>
    <s v="Kochi"/>
    <s v="Kerala"/>
    <x v="1"/>
    <d v="2024-11-23T00:00:00"/>
    <x v="0"/>
    <x v="0"/>
    <x v="0"/>
    <x v="0"/>
    <x v="0"/>
    <x v="0"/>
    <n v="0"/>
    <n v="1398"/>
    <n v="1"/>
    <x v="3"/>
    <x v="12"/>
    <x v="0"/>
  </r>
  <r>
    <s v="UT-100194"/>
    <d v="2024-11-20T00:00:00"/>
    <s v="CUST_10193"/>
    <x v="0"/>
    <s v="OUT-SHN-L"/>
    <x v="1"/>
    <s v="Shiny Jacket"/>
    <n v="4899"/>
    <n v="1"/>
    <n v="4899"/>
    <s v=""/>
    <n v="0"/>
    <s v="Debit Card"/>
    <x v="2"/>
    <s v="Vizag"/>
    <s v="Andhra Pradesh"/>
    <x v="1"/>
    <d v="2024-12-06T00:00:00"/>
    <x v="0"/>
    <x v="1"/>
    <x v="5"/>
    <x v="54"/>
    <x v="1"/>
    <x v="0"/>
    <n v="0"/>
    <n v="4899"/>
    <n v="1"/>
    <x v="3"/>
    <x v="13"/>
    <x v="0"/>
  </r>
  <r>
    <s v="UT-100196"/>
    <d v="2024-11-21T00:00:00"/>
    <s v="CUST_10195"/>
    <x v="0"/>
    <s v="TOP-MTL-S"/>
    <x v="0"/>
    <s v="Metallic Top"/>
    <n v="1999"/>
    <n v="1"/>
    <n v="1999"/>
    <s v=""/>
    <n v="0"/>
    <s v="UPI"/>
    <x v="0"/>
    <s v="Mysore"/>
    <s v="Karnataka"/>
    <x v="1"/>
    <d v="2024-12-05T00:00:00"/>
    <x v="0"/>
    <x v="1"/>
    <x v="3"/>
    <x v="40"/>
    <x v="1"/>
    <x v="0"/>
    <n v="0"/>
    <n v="1999"/>
    <n v="1"/>
    <x v="3"/>
    <x v="13"/>
    <x v="0"/>
  </r>
  <r>
    <s v="UT-100168"/>
    <d v="2024-11-11T00:00:00"/>
    <s v="CUST_10167"/>
    <x v="1"/>
    <s v="BOT-FRN-L"/>
    <x v="2"/>
    <s v="Fringe Pants"/>
    <n v="2199"/>
    <n v="1"/>
    <n v="2199"/>
    <s v=""/>
    <n v="0"/>
    <s v="UPI"/>
    <x v="1"/>
    <s v="Mysore"/>
    <s v="Karnataka"/>
    <x v="1"/>
    <d v="2024-11-24T00:00:00"/>
    <x v="0"/>
    <x v="0"/>
    <x v="0"/>
    <x v="0"/>
    <x v="0"/>
    <x v="0"/>
    <n v="0"/>
    <n v="2199"/>
    <n v="1"/>
    <x v="3"/>
    <x v="14"/>
    <x v="0"/>
  </r>
  <r>
    <s v="UT-100197"/>
    <d v="2024-11-21T00:00:00"/>
    <s v="CUST_10196"/>
    <x v="0"/>
    <s v="DRS-GLM-M"/>
    <x v="4"/>
    <s v="Glamour Dress"/>
    <n v="3499"/>
    <n v="1"/>
    <n v="3499"/>
    <s v="Nov15"/>
    <n v="15"/>
    <s v="COD"/>
    <x v="2"/>
    <s v="Vadodara"/>
    <s v="Gujarat"/>
    <x v="0"/>
    <d v="2024-12-07T00:00:00"/>
    <x v="0"/>
    <x v="1"/>
    <x v="1"/>
    <x v="41"/>
    <x v="1"/>
    <x v="0"/>
    <n v="524.85"/>
    <n v="3484"/>
    <n v="0.99571306087453559"/>
    <x v="3"/>
    <x v="13"/>
    <x v="1"/>
  </r>
  <r>
    <s v="UT-100170"/>
    <d v="2024-11-12T00:00:00"/>
    <s v="CUST_10169"/>
    <x v="0"/>
    <s v="ACC-PIN-OS"/>
    <x v="3"/>
    <s v="Brooch Pin"/>
    <n v="399"/>
    <n v="2"/>
    <n v="798"/>
    <s v="Nov15"/>
    <n v="15"/>
    <s v="Wallet"/>
    <x v="2"/>
    <s v="Rajkot"/>
    <s v="Gujarat"/>
    <x v="0"/>
    <d v="2024-11-25T00:00:00"/>
    <x v="0"/>
    <x v="0"/>
    <x v="0"/>
    <x v="0"/>
    <x v="0"/>
    <x v="0"/>
    <n v="119.7"/>
    <n v="783"/>
    <n v="0.98120300751879697"/>
    <x v="3"/>
    <x v="14"/>
    <x v="0"/>
  </r>
  <r>
    <s v="UT-100199"/>
    <d v="2024-11-22T00:00:00"/>
    <s v="CUST_10198"/>
    <x v="0"/>
    <s v="OUT-SPK-M"/>
    <x v="1"/>
    <s v="Sparkle Jacket"/>
    <n v="5499"/>
    <n v="1"/>
    <n v="5499"/>
    <s v=""/>
    <n v="0"/>
    <s v="Wallet"/>
    <x v="0"/>
    <s v="Kanpur"/>
    <s v="Uttar Pradesh"/>
    <x v="2"/>
    <d v="2024-12-08T00:00:00"/>
    <x v="0"/>
    <x v="1"/>
    <x v="4"/>
    <x v="42"/>
    <x v="1"/>
    <x v="0"/>
    <n v="0"/>
    <n v="5499"/>
    <n v="1"/>
    <x v="3"/>
    <x v="13"/>
    <x v="0"/>
  </r>
  <r>
    <s v="UT-100172"/>
    <d v="2024-11-13T00:00:00"/>
    <s v="CUST_10171"/>
    <x v="0"/>
    <s v="DRS-PLT-S"/>
    <x v="4"/>
    <s v="Pleated Midi Dress"/>
    <n v="2699"/>
    <n v="1"/>
    <n v="2699"/>
    <s v=""/>
    <n v="0"/>
    <s v="UPI"/>
    <x v="0"/>
    <s v="Mumbai"/>
    <s v="Maharashtra"/>
    <x v="0"/>
    <d v="2024-11-28T00:00:00"/>
    <x v="0"/>
    <x v="0"/>
    <x v="0"/>
    <x v="0"/>
    <x v="0"/>
    <x v="0"/>
    <n v="0"/>
    <n v="2699"/>
    <n v="1"/>
    <x v="3"/>
    <x v="14"/>
    <x v="0"/>
  </r>
  <r>
    <s v="UT-100201"/>
    <d v="2024-11-22T00:00:00"/>
    <s v="CUST_10200"/>
    <x v="0"/>
    <s v="TOP-SHR-L"/>
    <x v="0"/>
    <s v="Sheer Top"/>
    <n v="1699"/>
    <n v="1"/>
    <n v="1699"/>
    <s v="Nov15"/>
    <n v="15"/>
    <s v="UPI"/>
    <x v="1"/>
    <s v="Delhi"/>
    <s v="Delhi"/>
    <x v="2"/>
    <d v="2024-12-07T00:00:00"/>
    <x v="0"/>
    <x v="1"/>
    <x v="2"/>
    <x v="41"/>
    <x v="1"/>
    <x v="0"/>
    <n v="254.85"/>
    <n v="1684"/>
    <n v="0.99117127722189524"/>
    <x v="3"/>
    <x v="13"/>
    <x v="0"/>
  </r>
  <r>
    <s v="UT-100174"/>
    <d v="2024-11-13T00:00:00"/>
    <s v="CUST_10173"/>
    <x v="0"/>
    <s v="OUT-CHK-M"/>
    <x v="1"/>
    <s v="Check Coat"/>
    <n v="6299"/>
    <n v="1"/>
    <n v="6299"/>
    <s v=""/>
    <n v="0"/>
    <s v="COD"/>
    <x v="1"/>
    <s v="Kolkata"/>
    <s v="West Bengal"/>
    <x v="2"/>
    <m/>
    <x v="2"/>
    <x v="0"/>
    <x v="0"/>
    <x v="0"/>
    <x v="0"/>
    <x v="0"/>
    <n v="0"/>
    <n v="6299"/>
    <n v="1"/>
    <x v="3"/>
    <x v="14"/>
    <x v="1"/>
  </r>
  <r>
    <s v="UT-100203"/>
    <d v="2024-11-23T00:00:00"/>
    <s v="CUST_10202"/>
    <x v="1"/>
    <s v="BOT-ORG-M"/>
    <x v="2"/>
    <s v="Organza Pants"/>
    <n v="2399"/>
    <n v="1"/>
    <n v="2399"/>
    <s v=""/>
    <n v="0"/>
    <s v="COD"/>
    <x v="2"/>
    <s v="Chennai"/>
    <s v="Tamil Nadu"/>
    <x v="1"/>
    <d v="2024-12-07T00:00:00"/>
    <x v="0"/>
    <x v="1"/>
    <x v="5"/>
    <x v="54"/>
    <x v="1"/>
    <x v="0"/>
    <n v="0"/>
    <n v="2399"/>
    <n v="1"/>
    <x v="3"/>
    <x v="13"/>
    <x v="1"/>
  </r>
  <r>
    <s v="UT-100176"/>
    <d v="2024-11-14T00:00:00"/>
    <s v="CUST_10175"/>
    <x v="0"/>
    <s v="TOP-BLN-L"/>
    <x v="0"/>
    <s v="Balloon Sleeve Top"/>
    <n v="1699"/>
    <n v="1"/>
    <n v="1699"/>
    <s v=""/>
    <n v="0"/>
    <s v="UPI"/>
    <x v="2"/>
    <s v="Hyderabad"/>
    <s v="Telangana"/>
    <x v="1"/>
    <d v="2024-11-28T00:00:00"/>
    <x v="0"/>
    <x v="0"/>
    <x v="0"/>
    <x v="0"/>
    <x v="0"/>
    <x v="0"/>
    <n v="0"/>
    <n v="1699"/>
    <n v="1"/>
    <x v="3"/>
    <x v="14"/>
    <x v="0"/>
  </r>
  <r>
    <s v="UT-100204"/>
    <d v="2024-11-23T00:00:00"/>
    <s v="CUST_10203"/>
    <x v="0"/>
    <s v="OUT-MET-L"/>
    <x v="1"/>
    <s v="Metallic Coat"/>
    <n v="6799"/>
    <n v="1"/>
    <n v="6799"/>
    <s v=""/>
    <n v="0"/>
    <s v="UPI"/>
    <x v="1"/>
    <s v="Hyderabad"/>
    <s v="Telangana"/>
    <x v="1"/>
    <d v="2024-12-10T00:00:00"/>
    <x v="0"/>
    <x v="1"/>
    <x v="3"/>
    <x v="43"/>
    <x v="1"/>
    <x v="0"/>
    <n v="0"/>
    <n v="6799"/>
    <n v="1"/>
    <x v="3"/>
    <x v="13"/>
    <x v="0"/>
  </r>
  <r>
    <s v="UT-100178"/>
    <d v="2024-11-15T00:00:00"/>
    <s v="CUST_10177"/>
    <x v="1"/>
    <s v="BOT-PTW-M"/>
    <x v="2"/>
    <s v="Patchwork Pants"/>
    <n v="2099"/>
    <n v="1"/>
    <n v="2099"/>
    <s v=""/>
    <n v="0"/>
    <s v="Credit Card"/>
    <x v="0"/>
    <s v="Ahmedabad"/>
    <s v="Gujarat"/>
    <x v="0"/>
    <d v="2024-11-28T00:00:00"/>
    <x v="0"/>
    <x v="0"/>
    <x v="0"/>
    <x v="0"/>
    <x v="0"/>
    <x v="0"/>
    <n v="0"/>
    <n v="2099"/>
    <n v="1"/>
    <x v="3"/>
    <x v="14"/>
    <x v="0"/>
  </r>
  <r>
    <s v="UT-100206"/>
    <d v="2024-11-24T00:00:00"/>
    <s v="CUST_10205"/>
    <x v="0"/>
    <s v="TOP-BDS-M"/>
    <x v="0"/>
    <s v="Beaded Top"/>
    <n v="2299"/>
    <n v="1"/>
    <n v="2299"/>
    <s v=""/>
    <n v="0"/>
    <s v="Debit Card"/>
    <x v="2"/>
    <s v="Ahmedabad"/>
    <s v="Gujarat"/>
    <x v="0"/>
    <d v="2024-12-09T00:00:00"/>
    <x v="0"/>
    <x v="1"/>
    <x v="1"/>
    <x v="55"/>
    <x v="1"/>
    <x v="0"/>
    <n v="0"/>
    <n v="2299"/>
    <n v="1"/>
    <x v="3"/>
    <x v="13"/>
    <x v="0"/>
  </r>
  <r>
    <s v="UT-100166"/>
    <d v="2024-11-11T00:00:00"/>
    <s v="CUST_10165"/>
    <x v="0"/>
    <s v="TOP-SLV-S"/>
    <x v="0"/>
    <s v="Sleeve Detail Top"/>
    <n v="1599"/>
    <n v="1"/>
    <n v="1599"/>
    <s v="Nov15"/>
    <n v="15"/>
    <s v="Credit Card"/>
    <x v="0"/>
    <s v="Vizag"/>
    <s v="Andhra Pradesh"/>
    <x v="1"/>
    <d v="2024-11-24T00:00:00"/>
    <x v="0"/>
    <x v="1"/>
    <x v="3"/>
    <x v="56"/>
    <x v="1"/>
    <x v="0"/>
    <n v="239.85"/>
    <n v="1584"/>
    <n v="0.99061913696060033"/>
    <x v="3"/>
    <x v="14"/>
    <x v="0"/>
  </r>
  <r>
    <s v="UT-100181"/>
    <d v="2024-11-16T00:00:00"/>
    <s v="CUST_10180"/>
    <x v="0"/>
    <s v="TOP-RCH-S"/>
    <x v="0"/>
    <s v="Rouched Top"/>
    <n v="1499"/>
    <n v="1"/>
    <n v="1499"/>
    <s v="Nov15"/>
    <n v="15"/>
    <s v="Wallet"/>
    <x v="0"/>
    <s v="Bangalore"/>
    <s v="Karnataka"/>
    <x v="1"/>
    <d v="2024-11-29T00:00:00"/>
    <x v="0"/>
    <x v="0"/>
    <x v="0"/>
    <x v="0"/>
    <x v="0"/>
    <x v="0"/>
    <n v="224.85"/>
    <n v="1484"/>
    <n v="0.98999332888592395"/>
    <x v="3"/>
    <x v="14"/>
    <x v="0"/>
  </r>
  <r>
    <s v="UT-100167"/>
    <d v="2024-11-11T00:00:00"/>
    <s v="CUST_10166"/>
    <x v="0"/>
    <s v="DRS-ASY-M"/>
    <x v="4"/>
    <s v="Asymmetric Dress"/>
    <n v="2899"/>
    <n v="1"/>
    <n v="2899"/>
    <s v=""/>
    <n v="0"/>
    <s v="COD"/>
    <x v="2"/>
    <s v="Thiruvananthapuram"/>
    <s v="Kerala"/>
    <x v="1"/>
    <d v="2024-11-26T00:00:00"/>
    <x v="0"/>
    <x v="1"/>
    <x v="1"/>
    <x v="57"/>
    <x v="1"/>
    <x v="0"/>
    <n v="0"/>
    <n v="2899"/>
    <n v="1"/>
    <x v="3"/>
    <x v="14"/>
    <x v="1"/>
  </r>
  <r>
    <s v="UT-100183"/>
    <d v="2024-11-16T00:00:00"/>
    <s v="CUST_10182"/>
    <x v="1"/>
    <s v="BOT-BND-L"/>
    <x v="2"/>
    <s v="Banded Pants"/>
    <n v="1899"/>
    <n v="1"/>
    <n v="1899"/>
    <s v=""/>
    <n v="0"/>
    <s v="Credit Card"/>
    <x v="1"/>
    <s v="Delhi"/>
    <s v="Delhi"/>
    <x v="2"/>
    <d v="2024-11-29T00:00:00"/>
    <x v="0"/>
    <x v="0"/>
    <x v="0"/>
    <x v="0"/>
    <x v="0"/>
    <x v="0"/>
    <n v="0"/>
    <n v="1899"/>
    <n v="1"/>
    <x v="3"/>
    <x v="14"/>
    <x v="0"/>
  </r>
  <r>
    <s v="UT-100169"/>
    <d v="2024-11-12T00:00:00"/>
    <s v="CUST_10168"/>
    <x v="0"/>
    <s v="OUT-TWD-M"/>
    <x v="1"/>
    <s v="Tweed Jacket"/>
    <n v="5599"/>
    <n v="1"/>
    <n v="5599"/>
    <s v=""/>
    <n v="0"/>
    <s v="Credit Card"/>
    <x v="0"/>
    <s v="Vadodara"/>
    <s v="Gujarat"/>
    <x v="0"/>
    <d v="2024-11-27T00:00:00"/>
    <x v="0"/>
    <x v="1"/>
    <x v="4"/>
    <x v="58"/>
    <x v="1"/>
    <x v="0"/>
    <n v="0"/>
    <n v="5599"/>
    <n v="1"/>
    <x v="3"/>
    <x v="14"/>
    <x v="0"/>
  </r>
  <r>
    <s v="UT-100185"/>
    <d v="2024-11-17T00:00:00"/>
    <s v="CUST_10184"/>
    <x v="0"/>
    <s v="ACC-STN-OS"/>
    <x v="3"/>
    <s v="Stone Necklace"/>
    <n v="1299"/>
    <n v="1"/>
    <n v="1299"/>
    <s v="Nov15"/>
    <n v="15"/>
    <s v="COD"/>
    <x v="2"/>
    <s v="Noida"/>
    <s v="Uttar Pradesh"/>
    <x v="2"/>
    <d v="2024-11-30T00:00:00"/>
    <x v="0"/>
    <x v="0"/>
    <x v="0"/>
    <x v="0"/>
    <x v="0"/>
    <x v="0"/>
    <n v="194.85"/>
    <n v="1284"/>
    <n v="0.98845265588914555"/>
    <x v="3"/>
    <x v="14"/>
    <x v="1"/>
  </r>
  <r>
    <s v="UT-100171"/>
    <d v="2024-11-12T00:00:00"/>
    <s v="CUST_10170"/>
    <x v="0"/>
    <s v="TOP-MCR-M"/>
    <x v="0"/>
    <s v="Macrame Top"/>
    <n v="1899"/>
    <n v="1"/>
    <n v="1899"/>
    <s v=""/>
    <n v="0"/>
    <s v="Debit Card"/>
    <x v="1"/>
    <s v="Kanpur"/>
    <s v="Uttar Pradesh"/>
    <x v="2"/>
    <d v="2024-11-26T00:00:00"/>
    <x v="0"/>
    <x v="1"/>
    <x v="5"/>
    <x v="59"/>
    <x v="1"/>
    <x v="0"/>
    <n v="0"/>
    <n v="1899"/>
    <n v="1"/>
    <x v="3"/>
    <x v="14"/>
    <x v="0"/>
  </r>
  <r>
    <s v="UT-100187"/>
    <d v="2024-11-18T00:00:00"/>
    <s v="CUST_10186"/>
    <x v="0"/>
    <s v="DRS-SQN-L"/>
    <x v="4"/>
    <s v="Sequin Midi Dress"/>
    <n v="3799"/>
    <n v="1"/>
    <n v="3799"/>
    <s v=""/>
    <n v="0"/>
    <s v="Wallet"/>
    <x v="0"/>
    <s v="Indore"/>
    <s v="Madhya Pradesh"/>
    <x v="0"/>
    <d v="2024-12-03T00:00:00"/>
    <x v="0"/>
    <x v="0"/>
    <x v="0"/>
    <x v="0"/>
    <x v="0"/>
    <x v="0"/>
    <n v="0"/>
    <n v="3799"/>
    <n v="1"/>
    <x v="3"/>
    <x v="13"/>
    <x v="0"/>
  </r>
  <r>
    <s v="UT-100173"/>
    <d v="2024-11-13T00:00:00"/>
    <s v="CUST_10172"/>
    <x v="1"/>
    <s v="BOT-VLT-L"/>
    <x v="2"/>
    <s v="Velvet Pants"/>
    <n v="2499"/>
    <n v="1"/>
    <n v="2499"/>
    <s v="Nov15"/>
    <n v="15"/>
    <s v="Credit Card"/>
    <x v="2"/>
    <s v="Delhi"/>
    <s v="Delhi"/>
    <x v="2"/>
    <d v="2024-11-26T00:00:00"/>
    <x v="0"/>
    <x v="1"/>
    <x v="3"/>
    <x v="57"/>
    <x v="1"/>
    <x v="0"/>
    <n v="374.85"/>
    <n v="2484"/>
    <n v="0.99399759903961582"/>
    <x v="3"/>
    <x v="14"/>
    <x v="0"/>
  </r>
  <r>
    <s v="UT-100175"/>
    <d v="2024-11-14T00:00:00"/>
    <s v="CUST_10174"/>
    <x v="0"/>
    <s v="ACC-WVN-OS"/>
    <x v="3"/>
    <s v="Woven Bag"/>
    <n v="1599"/>
    <n v="1"/>
    <n v="1599"/>
    <s v=""/>
    <n v="0"/>
    <s v="Wallet"/>
    <x v="0"/>
    <s v="Chennai"/>
    <s v="Tamil Nadu"/>
    <x v="1"/>
    <d v="2024-11-27T00:00:00"/>
    <x v="0"/>
    <x v="1"/>
    <x v="2"/>
    <x v="58"/>
    <x v="1"/>
    <x v="0"/>
    <n v="0"/>
    <n v="1599"/>
    <n v="1"/>
    <x v="3"/>
    <x v="14"/>
    <x v="0"/>
  </r>
  <r>
    <s v="UT-100190"/>
    <d v="2024-11-19T00:00:00"/>
    <s v="CUST_10189"/>
    <x v="0"/>
    <s v="ACC-CHM-OS"/>
    <x v="3"/>
    <s v="Charm Anklet"/>
    <n v="499"/>
    <n v="2"/>
    <n v="998"/>
    <s v=""/>
    <n v="0"/>
    <s v="Credit Card"/>
    <x v="0"/>
    <s v="Bhopal"/>
    <s v="Madhya Pradesh"/>
    <x v="0"/>
    <d v="2024-12-02T00:00:00"/>
    <x v="0"/>
    <x v="0"/>
    <x v="0"/>
    <x v="0"/>
    <x v="0"/>
    <x v="0"/>
    <n v="0"/>
    <n v="998"/>
    <n v="1"/>
    <x v="3"/>
    <x v="13"/>
    <x v="0"/>
  </r>
  <r>
    <s v="UT-100191"/>
    <d v="2024-11-19T00:00:00"/>
    <s v="CUST_10190"/>
    <x v="0"/>
    <s v="TOP-TXD-L"/>
    <x v="0"/>
    <s v="Textured Top"/>
    <n v="1799"/>
    <n v="1"/>
    <n v="1799"/>
    <s v=""/>
    <n v="0"/>
    <s v="COD"/>
    <x v="2"/>
    <s v="Nagpur"/>
    <s v="Maharashtra"/>
    <x v="0"/>
    <m/>
    <x v="2"/>
    <x v="0"/>
    <x v="0"/>
    <x v="0"/>
    <x v="0"/>
    <x v="0"/>
    <n v="0"/>
    <n v="1799"/>
    <n v="1"/>
    <x v="3"/>
    <x v="13"/>
    <x v="1"/>
  </r>
  <r>
    <s v="UT-100177"/>
    <d v="2024-11-14T00:00:00"/>
    <s v="CUST_10176"/>
    <x v="0"/>
    <s v="DRS-CRO-S"/>
    <x v="4"/>
    <s v="Crochet Dress"/>
    <n v="3199"/>
    <n v="1"/>
    <n v="3199"/>
    <s v="Nov15"/>
    <n v="15"/>
    <s v="Debit Card"/>
    <x v="1"/>
    <s v="Pune"/>
    <s v="Maharashtra"/>
    <x v="0"/>
    <d v="2024-11-29T00:00:00"/>
    <x v="0"/>
    <x v="1"/>
    <x v="3"/>
    <x v="52"/>
    <x v="1"/>
    <x v="0"/>
    <n v="479.85"/>
    <n v="3184"/>
    <n v="0.99531103469834326"/>
    <x v="3"/>
    <x v="14"/>
    <x v="0"/>
  </r>
  <r>
    <s v="UT-100193"/>
    <d v="2024-11-20T00:00:00"/>
    <s v="CUST_10192"/>
    <x v="1"/>
    <s v="BOT-STN-M"/>
    <x v="2"/>
    <s v="Satin Pants"/>
    <n v="2199"/>
    <n v="1"/>
    <n v="2199"/>
    <s v="Nov15"/>
    <n v="15"/>
    <s v="Wallet"/>
    <x v="0"/>
    <s v="Kochi"/>
    <s v="Kerala"/>
    <x v="1"/>
    <d v="2024-12-03T00:00:00"/>
    <x v="0"/>
    <x v="0"/>
    <x v="0"/>
    <x v="0"/>
    <x v="0"/>
    <x v="0"/>
    <n v="329.85"/>
    <n v="2184"/>
    <n v="0.99317871759890863"/>
    <x v="3"/>
    <x v="13"/>
    <x v="0"/>
  </r>
  <r>
    <s v="UT-100179"/>
    <d v="2024-11-15T00:00:00"/>
    <s v="CUST_10178"/>
    <x v="0"/>
    <s v="OUT-HRN-L"/>
    <x v="1"/>
    <s v="Herringbone Coat"/>
    <n v="6999"/>
    <n v="1"/>
    <n v="6999"/>
    <s v=""/>
    <n v="0"/>
    <s v="UPI"/>
    <x v="2"/>
    <s v="Jaipur"/>
    <s v="Rajasthan"/>
    <x v="2"/>
    <d v="2024-11-30T00:00:00"/>
    <x v="0"/>
    <x v="1"/>
    <x v="1"/>
    <x v="60"/>
    <x v="1"/>
    <x v="0"/>
    <n v="0"/>
    <n v="6999"/>
    <n v="1"/>
    <x v="3"/>
    <x v="14"/>
    <x v="0"/>
  </r>
  <r>
    <s v="UT-100195"/>
    <d v="2024-11-20T00:00:00"/>
    <s v="CUST_10194"/>
    <x v="0"/>
    <s v="ACC-PRL-OS"/>
    <x v="3"/>
    <s v="Pearl Earrings"/>
    <n v="799"/>
    <n v="1"/>
    <n v="799"/>
    <s v=""/>
    <n v="0"/>
    <s v="Credit Card"/>
    <x v="1"/>
    <s v="Thiruvananthapuram"/>
    <s v="Kerala"/>
    <x v="1"/>
    <d v="2024-12-04T00:00:00"/>
    <x v="0"/>
    <x v="0"/>
    <x v="0"/>
    <x v="0"/>
    <x v="0"/>
    <x v="0"/>
    <n v="0"/>
    <n v="799"/>
    <n v="1"/>
    <x v="3"/>
    <x v="13"/>
    <x v="0"/>
  </r>
  <r>
    <s v="UT-100180"/>
    <d v="2024-11-15T00:00:00"/>
    <s v="CUST_10179"/>
    <x v="0"/>
    <s v="ACC-MTL-OS"/>
    <x v="3"/>
    <s v="Metal Belt"/>
    <n v="899"/>
    <n v="1"/>
    <n v="899"/>
    <s v=""/>
    <n v="0"/>
    <s v="COD"/>
    <x v="1"/>
    <s v="Lucknow"/>
    <s v="Uttar Pradesh"/>
    <x v="2"/>
    <d v="2024-11-28T00:00:00"/>
    <x v="0"/>
    <x v="1"/>
    <x v="4"/>
    <x v="61"/>
    <x v="1"/>
    <x v="0"/>
    <n v="0"/>
    <n v="899"/>
    <n v="1"/>
    <x v="3"/>
    <x v="14"/>
    <x v="1"/>
  </r>
  <r>
    <s v="UT-100182"/>
    <d v="2024-11-16T00:00:00"/>
    <s v="CUST_10181"/>
    <x v="0"/>
    <s v="DRS-TRF-M"/>
    <x v="4"/>
    <s v="Tiered Ruffle Dress"/>
    <n v="2999"/>
    <n v="1"/>
    <n v="2999"/>
    <s v=""/>
    <n v="0"/>
    <s v="Debit Card"/>
    <x v="2"/>
    <s v="Mumbai"/>
    <s v="Maharashtra"/>
    <x v="0"/>
    <d v="2024-12-01T00:00:00"/>
    <x v="0"/>
    <x v="1"/>
    <x v="5"/>
    <x v="53"/>
    <x v="1"/>
    <x v="0"/>
    <n v="0"/>
    <n v="2999"/>
    <n v="1"/>
    <x v="3"/>
    <x v="14"/>
    <x v="0"/>
  </r>
  <r>
    <s v="UT-100198"/>
    <d v="2024-11-21T00:00:00"/>
    <s v="CUST_10197"/>
    <x v="1"/>
    <s v="BOT-LME-L"/>
    <x v="2"/>
    <s v="Lame Pants"/>
    <n v="2599"/>
    <n v="1"/>
    <n v="2599"/>
    <s v=""/>
    <n v="0"/>
    <s v="Credit Card"/>
    <x v="1"/>
    <s v="Rajkot"/>
    <s v="Gujarat"/>
    <x v="0"/>
    <d v="2024-12-05T00:00:00"/>
    <x v="0"/>
    <x v="0"/>
    <x v="0"/>
    <x v="0"/>
    <x v="0"/>
    <x v="0"/>
    <n v="0"/>
    <n v="2599"/>
    <n v="1"/>
    <x v="3"/>
    <x v="13"/>
    <x v="0"/>
  </r>
  <r>
    <s v="UT-100184"/>
    <d v="2024-11-17T00:00:00"/>
    <s v="CUST_10183"/>
    <x v="0"/>
    <s v="OUT-CML-M"/>
    <x v="1"/>
    <s v="Camel Coat"/>
    <n v="7499"/>
    <n v="1"/>
    <n v="7499"/>
    <s v=""/>
    <n v="0"/>
    <s v="UPI"/>
    <x v="0"/>
    <s v="Chandigarh"/>
    <s v="Punjab"/>
    <x v="2"/>
    <d v="2024-12-02T00:00:00"/>
    <x v="0"/>
    <x v="1"/>
    <x v="3"/>
    <x v="62"/>
    <x v="1"/>
    <x v="0"/>
    <n v="0"/>
    <n v="7499"/>
    <n v="1"/>
    <x v="3"/>
    <x v="14"/>
    <x v="0"/>
  </r>
  <r>
    <s v="UT-100200"/>
    <d v="2024-11-22T00:00:00"/>
    <s v="CUST_10199"/>
    <x v="0"/>
    <s v="ACC-CRY-OS"/>
    <x v="3"/>
    <s v="Crystal Bracelet"/>
    <n v="999"/>
    <n v="1"/>
    <n v="999"/>
    <s v=""/>
    <n v="0"/>
    <s v="Debit Card"/>
    <x v="2"/>
    <s v="Mumbai"/>
    <s v="Maharashtra"/>
    <x v="0"/>
    <d v="2024-12-06T00:00:00"/>
    <x v="0"/>
    <x v="0"/>
    <x v="0"/>
    <x v="0"/>
    <x v="0"/>
    <x v="0"/>
    <n v="0"/>
    <n v="999"/>
    <n v="1"/>
    <x v="3"/>
    <x v="13"/>
    <x v="0"/>
  </r>
  <r>
    <s v="UT-100186"/>
    <d v="2024-11-17T00:00:00"/>
    <s v="CUST_10185"/>
    <x v="0"/>
    <s v="TOP-KNT-M"/>
    <x v="0"/>
    <s v="Knotted Top"/>
    <n v="1599"/>
    <n v="1"/>
    <n v="1599"/>
    <s v=""/>
    <n v="0"/>
    <s v="Credit Card"/>
    <x v="1"/>
    <s v="Gurgaon"/>
    <s v="Haryana"/>
    <x v="2"/>
    <d v="2024-12-01T00:00:00"/>
    <x v="0"/>
    <x v="1"/>
    <x v="2"/>
    <x v="60"/>
    <x v="1"/>
    <x v="0"/>
    <n v="0"/>
    <n v="1599"/>
    <n v="1"/>
    <x v="3"/>
    <x v="14"/>
    <x v="0"/>
  </r>
  <r>
    <s v="UT-100202"/>
    <d v="2024-11-23T00:00:00"/>
    <s v="CUST_10201"/>
    <x v="0"/>
    <s v="DRS-CHF-S"/>
    <x v="4"/>
    <s v="Chiffon Dress"/>
    <n v="2799"/>
    <n v="1"/>
    <n v="2799"/>
    <s v=""/>
    <n v="0"/>
    <s v="Credit Card"/>
    <x v="0"/>
    <s v="Kolkata"/>
    <s v="West Bengal"/>
    <x v="2"/>
    <d v="2024-12-09T00:00:00"/>
    <x v="0"/>
    <x v="0"/>
    <x v="0"/>
    <x v="0"/>
    <x v="0"/>
    <x v="0"/>
    <n v="0"/>
    <n v="2799"/>
    <n v="1"/>
    <x v="3"/>
    <x v="13"/>
    <x v="0"/>
  </r>
  <r>
    <s v="UT-100144"/>
    <d v="2024-11-04T00:00:00"/>
    <s v="CUST_10143"/>
    <x v="0"/>
    <s v="OUT-PHU-L"/>
    <x v="1"/>
    <s v="Phulkari Jacket"/>
    <n v="4299"/>
    <n v="1"/>
    <n v="4299"/>
    <s v="DIWALI40"/>
    <n v="40"/>
    <s v="Credit Card"/>
    <x v="1"/>
    <s v="Mumbai"/>
    <s v="Maharashtra"/>
    <x v="0"/>
    <d v="2024-11-17T00:00:00"/>
    <x v="0"/>
    <x v="1"/>
    <x v="5"/>
    <x v="63"/>
    <x v="1"/>
    <x v="0"/>
    <n v="1719.6"/>
    <n v="4259"/>
    <n v="0.99069551058385674"/>
    <x v="3"/>
    <x v="12"/>
    <x v="0"/>
  </r>
  <r>
    <s v="UT-100146"/>
    <d v="2024-11-04T00:00:00"/>
    <s v="CUST_10145"/>
    <x v="0"/>
    <s v="TOP-BND-S"/>
    <x v="0"/>
    <s v="Bandhej Top"/>
    <n v="1899"/>
    <n v="1"/>
    <n v="1899"/>
    <s v="DIWALI40"/>
    <n v="40"/>
    <s v="Wallet"/>
    <x v="2"/>
    <s v="Kolkata"/>
    <s v="West Bengal"/>
    <x v="2"/>
    <d v="2024-11-17T00:00:00"/>
    <x v="0"/>
    <x v="1"/>
    <x v="3"/>
    <x v="64"/>
    <x v="1"/>
    <x v="0"/>
    <n v="759.6"/>
    <n v="1859"/>
    <n v="0.97893628225381779"/>
    <x v="3"/>
    <x v="12"/>
    <x v="0"/>
  </r>
  <r>
    <s v="UT-100205"/>
    <d v="2024-11-24T00:00:00"/>
    <s v="CUST_10204"/>
    <x v="0"/>
    <s v="ACC-DMD-OS"/>
    <x v="3"/>
    <s v="Diamond Studs"/>
    <n v="1499"/>
    <n v="1"/>
    <n v="1499"/>
    <s v="Nov15"/>
    <n v="15"/>
    <s v="Wallet"/>
    <x v="0"/>
    <s v="Pune"/>
    <s v="Maharashtra"/>
    <x v="0"/>
    <d v="2024-12-08T00:00:00"/>
    <x v="0"/>
    <x v="0"/>
    <x v="0"/>
    <x v="0"/>
    <x v="0"/>
    <x v="0"/>
    <n v="224.85"/>
    <n v="1484"/>
    <n v="0.98999332888592395"/>
    <x v="3"/>
    <x v="13"/>
    <x v="0"/>
  </r>
  <r>
    <s v="UT-100147"/>
    <d v="2024-11-05T00:00:00"/>
    <s v="CUST_10146"/>
    <x v="0"/>
    <s v="DRS-LKH-M"/>
    <x v="4"/>
    <s v="Lucknowi Dress"/>
    <n v="4899"/>
    <n v="1"/>
    <n v="4899"/>
    <s v="DIWALI40"/>
    <n v="40"/>
    <s v="Debit Card"/>
    <x v="1"/>
    <s v="Chennai"/>
    <s v="Tamil Nadu"/>
    <x v="1"/>
    <d v="2024-11-18T00:00:00"/>
    <x v="0"/>
    <x v="1"/>
    <x v="4"/>
    <x v="65"/>
    <x v="1"/>
    <x v="0"/>
    <n v="1959.6"/>
    <n v="4859"/>
    <n v="0.99183506838130231"/>
    <x v="3"/>
    <x v="12"/>
    <x v="0"/>
  </r>
  <r>
    <s v="UT-100207"/>
    <d v="2024-11-24T00:00:00"/>
    <s v="CUST_10206"/>
    <x v="0"/>
    <s v="DRS-SPL-L"/>
    <x v="4"/>
    <s v="Sparkle Gown"/>
    <n v="4999"/>
    <n v="1"/>
    <n v="4999"/>
    <s v=""/>
    <n v="0"/>
    <s v="Credit Card"/>
    <x v="1"/>
    <s v="Jaipur"/>
    <s v="Rajasthan"/>
    <x v="2"/>
    <d v="2024-12-11T00:00:00"/>
    <x v="0"/>
    <x v="0"/>
    <x v="0"/>
    <x v="0"/>
    <x v="0"/>
    <x v="0"/>
    <n v="0"/>
    <n v="4999"/>
    <n v="1"/>
    <x v="3"/>
    <x v="13"/>
    <x v="0"/>
  </r>
  <r>
    <s v="UT-100149"/>
    <d v="2024-11-05T00:00:00"/>
    <s v="CUST_10148"/>
    <x v="0"/>
    <s v="OUT-KTH-M"/>
    <x v="1"/>
    <s v="Katha Work Jacket"/>
    <n v="5699"/>
    <n v="1"/>
    <n v="5699"/>
    <s v="DIWALI40"/>
    <n v="40"/>
    <s v="UPI"/>
    <x v="2"/>
    <s v="Pune"/>
    <s v="Maharashtra"/>
    <x v="0"/>
    <d v="2024-11-19T00:00:00"/>
    <x v="0"/>
    <x v="1"/>
    <x v="3"/>
    <x v="66"/>
    <x v="1"/>
    <x v="0"/>
    <n v="2279.6"/>
    <n v="5659"/>
    <n v="0.99298122477627659"/>
    <x v="3"/>
    <x v="12"/>
    <x v="0"/>
  </r>
  <r>
    <s v="UT-100150"/>
    <d v="2024-11-05T00:00:00"/>
    <s v="CUST_10149"/>
    <x v="0"/>
    <s v="ACC-BNG-OS"/>
    <x v="3"/>
    <s v="Bangle Set"/>
    <n v="599"/>
    <n v="4"/>
    <n v="2396"/>
    <s v="DIWALI40"/>
    <n v="40"/>
    <s v="COD"/>
    <x v="1"/>
    <s v="Ahmedabad"/>
    <s v="Gujarat"/>
    <x v="0"/>
    <d v="2024-11-18T00:00:00"/>
    <x v="0"/>
    <x v="1"/>
    <x v="2"/>
    <x v="63"/>
    <x v="1"/>
    <x v="0"/>
    <n v="958.4"/>
    <n v="2356"/>
    <n v="0.98330550918196991"/>
    <x v="3"/>
    <x v="12"/>
    <x v="1"/>
  </r>
  <r>
    <s v="UT-100210"/>
    <d v="2024-11-25T00:00:00"/>
    <s v="CUST_10209"/>
    <x v="0"/>
    <s v="ACC-GLD-OS"/>
    <x v="3"/>
    <s v="Gold Cuff"/>
    <n v="1199"/>
    <n v="1"/>
    <n v="1199"/>
    <s v=""/>
    <n v="0"/>
    <s v="Credit Card"/>
    <x v="1"/>
    <s v="Mumbai"/>
    <s v="Maharashtra"/>
    <x v="0"/>
    <d v="2024-12-10T00:00:00"/>
    <x v="0"/>
    <x v="0"/>
    <x v="0"/>
    <x v="0"/>
    <x v="0"/>
    <x v="0"/>
    <n v="0"/>
    <n v="1199"/>
    <n v="1"/>
    <x v="3"/>
    <x v="11"/>
    <x v="0"/>
  </r>
  <r>
    <s v="UT-100152"/>
    <d v="2024-11-06T00:00:00"/>
    <s v="CUST_10151"/>
    <x v="0"/>
    <s v="DRS-IDR-S"/>
    <x v="4"/>
    <s v="Ikat Dress"/>
    <n v="2799"/>
    <n v="1"/>
    <n v="2799"/>
    <s v=""/>
    <n v="0"/>
    <s v="UPI"/>
    <x v="2"/>
    <s v="Lucknow"/>
    <s v="Uttar Pradesh"/>
    <x v="2"/>
    <d v="2024-11-20T00:00:00"/>
    <x v="0"/>
    <x v="1"/>
    <x v="5"/>
    <x v="66"/>
    <x v="1"/>
    <x v="0"/>
    <n v="0"/>
    <n v="2799"/>
    <n v="1"/>
    <x v="3"/>
    <x v="12"/>
    <x v="0"/>
  </r>
  <r>
    <s v="UT-100212"/>
    <d v="2024-11-26T00:00:00"/>
    <s v="CUST_10211"/>
    <x v="0"/>
    <s v="DRS-CCK-M"/>
    <x v="4"/>
    <s v="Cocktail Dress"/>
    <n v="3699"/>
    <n v="1"/>
    <n v="3699"/>
    <s v=""/>
    <n v="0"/>
    <s v="Debit Card"/>
    <x v="2"/>
    <s v="Chandigarh"/>
    <s v="Punjab"/>
    <x v="2"/>
    <d v="2024-12-13T00:00:00"/>
    <x v="0"/>
    <x v="0"/>
    <x v="0"/>
    <x v="0"/>
    <x v="0"/>
    <x v="0"/>
    <n v="0"/>
    <n v="3699"/>
    <n v="1"/>
    <x v="3"/>
    <x v="11"/>
    <x v="0"/>
  </r>
  <r>
    <s v="UT-100154"/>
    <d v="2024-11-07T00:00:00"/>
    <s v="CUST_10153"/>
    <x v="0"/>
    <s v="OUT-JQD-L"/>
    <x v="1"/>
    <s v="Jacquard Jacket"/>
    <n v="4599"/>
    <n v="1"/>
    <n v="4599"/>
    <s v=""/>
    <n v="0"/>
    <s v="Credit Card"/>
    <x v="0"/>
    <s v="Mumbai"/>
    <s v="Maharashtra"/>
    <x v="0"/>
    <d v="2024-11-21T00:00:00"/>
    <x v="0"/>
    <x v="1"/>
    <x v="3"/>
    <x v="67"/>
    <x v="1"/>
    <x v="0"/>
    <n v="0"/>
    <n v="4599"/>
    <n v="1"/>
    <x v="3"/>
    <x v="12"/>
    <x v="0"/>
  </r>
  <r>
    <s v="UT-100156"/>
    <d v="2024-11-07T00:00:00"/>
    <s v="CUST_10155"/>
    <x v="0"/>
    <s v="TOP-AJR-M"/>
    <x v="0"/>
    <s v="Ajrakh Print Top"/>
    <n v="1799"/>
    <n v="1"/>
    <n v="1799"/>
    <s v="Nov15"/>
    <n v="15"/>
    <s v="UPI"/>
    <x v="1"/>
    <s v="Chandigarh"/>
    <s v="Punjab"/>
    <x v="2"/>
    <d v="2024-11-20T00:00:00"/>
    <x v="0"/>
    <x v="1"/>
    <x v="1"/>
    <x v="68"/>
    <x v="1"/>
    <x v="0"/>
    <n v="269.85000000000002"/>
    <n v="1784"/>
    <n v="0.99166203446359091"/>
    <x v="3"/>
    <x v="12"/>
    <x v="0"/>
  </r>
  <r>
    <s v="UT-100215"/>
    <d v="2024-11-27T00:00:00"/>
    <s v="CUST_10214"/>
    <x v="0"/>
    <s v="ACC-SLV-OS"/>
    <x v="3"/>
    <s v="Silver Bangle"/>
    <n v="899"/>
    <n v="2"/>
    <n v="1798"/>
    <s v=""/>
    <n v="0"/>
    <s v="COD"/>
    <x v="2"/>
    <s v="Indore"/>
    <s v="Madhya Pradesh"/>
    <x v="0"/>
    <d v="2024-12-12T00:00:00"/>
    <x v="0"/>
    <x v="0"/>
    <x v="0"/>
    <x v="0"/>
    <x v="0"/>
    <x v="0"/>
    <n v="0"/>
    <n v="1798"/>
    <n v="1"/>
    <x v="3"/>
    <x v="11"/>
    <x v="1"/>
  </r>
  <r>
    <s v="UT-100158"/>
    <d v="2024-11-08T00:00:00"/>
    <s v="CUST_10157"/>
    <x v="1"/>
    <s v="BOT-TIE-S"/>
    <x v="2"/>
    <s v="Tie Dye Pants"/>
    <n v="1599"/>
    <n v="1"/>
    <n v="1599"/>
    <s v=""/>
    <n v="0"/>
    <s v="Credit Card"/>
    <x v="2"/>
    <s v="Gurgaon"/>
    <s v="Haryana"/>
    <x v="2"/>
    <d v="2024-11-20T00:00:00"/>
    <x v="0"/>
    <x v="1"/>
    <x v="4"/>
    <x v="66"/>
    <x v="1"/>
    <x v="0"/>
    <n v="0"/>
    <n v="1599"/>
    <n v="1"/>
    <x v="3"/>
    <x v="12"/>
    <x v="0"/>
  </r>
  <r>
    <s v="UT-100217"/>
    <d v="2024-11-28T00:00:00"/>
    <s v="CUST_10216"/>
    <x v="0"/>
    <s v="DRS-STR-S"/>
    <x v="4"/>
    <s v="Star Print Dress"/>
    <n v="2599"/>
    <n v="1"/>
    <n v="2599"/>
    <s v="Nov15"/>
    <n v="15"/>
    <s v="Wallet"/>
    <x v="0"/>
    <s v="Patna"/>
    <s v="Bihar"/>
    <x v="2"/>
    <d v="2024-12-15T00:00:00"/>
    <x v="0"/>
    <x v="0"/>
    <x v="0"/>
    <x v="0"/>
    <x v="0"/>
    <x v="0"/>
    <n v="389.85"/>
    <n v="2584"/>
    <n v="0.99422854944209316"/>
    <x v="3"/>
    <x v="11"/>
    <x v="0"/>
  </r>
  <r>
    <s v="UT-100160"/>
    <d v="2024-11-09T00:00:00"/>
    <s v="CUST_10159"/>
    <x v="0"/>
    <s v="ACC-HRM-OS"/>
    <x v="3"/>
    <s v="Hair Clip Set"/>
    <n v="499"/>
    <n v="3"/>
    <n v="1497"/>
    <s v=""/>
    <n v="0"/>
    <s v="UPI"/>
    <x v="0"/>
    <s v="Surat"/>
    <s v="Gujarat"/>
    <x v="0"/>
    <d v="2024-11-21T00:00:00"/>
    <x v="0"/>
    <x v="1"/>
    <x v="2"/>
    <x v="68"/>
    <x v="1"/>
    <x v="0"/>
    <n v="0"/>
    <n v="1497"/>
    <n v="1"/>
    <x v="3"/>
    <x v="12"/>
    <x v="0"/>
  </r>
  <r>
    <s v="UT-100162"/>
    <d v="2024-11-09T00:00:00"/>
    <s v="CUST_10161"/>
    <x v="0"/>
    <s v="DRS-FLR-S"/>
    <x v="4"/>
    <s v="Floral Print Dress"/>
    <n v="2399"/>
    <n v="1"/>
    <n v="2399"/>
    <s v="Nov15"/>
    <n v="15"/>
    <s v="Credit Card"/>
    <x v="1"/>
    <s v="Bhopal"/>
    <s v="Madhya Pradesh"/>
    <x v="0"/>
    <d v="2024-11-24T00:00:00"/>
    <x v="0"/>
    <x v="1"/>
    <x v="3"/>
    <x v="69"/>
    <x v="1"/>
    <x v="0"/>
    <n v="359.85"/>
    <n v="2384"/>
    <n v="0.9937473947478116"/>
    <x v="3"/>
    <x v="12"/>
    <x v="0"/>
  </r>
  <r>
    <s v="UT-100220"/>
    <d v="2024-11-29T00:00:00"/>
    <s v="CUST_10219"/>
    <x v="0"/>
    <s v="ACC-RBN-OS"/>
    <x v="3"/>
    <s v="Ribbon Choker"/>
    <n v="499"/>
    <n v="2"/>
    <n v="998"/>
    <s v=""/>
    <n v="0"/>
    <s v="UPI"/>
    <x v="0"/>
    <s v="Coimbatore"/>
    <s v="Tamil Nadu"/>
    <x v="1"/>
    <d v="2024-12-14T00:00:00"/>
    <x v="0"/>
    <x v="0"/>
    <x v="0"/>
    <x v="0"/>
    <x v="0"/>
    <x v="0"/>
    <n v="0"/>
    <n v="998"/>
    <n v="1"/>
    <x v="3"/>
    <x v="11"/>
    <x v="0"/>
  </r>
  <r>
    <s v="UT-100221"/>
    <d v="2024-11-29T00:00:00"/>
    <s v="CUST_10220"/>
    <x v="0"/>
    <s v="TOP-VNY-M"/>
    <x v="0"/>
    <s v="Vinyl Top"/>
    <n v="1999"/>
    <n v="1"/>
    <n v="1999"/>
    <s v=""/>
    <n v="0"/>
    <s v="COD"/>
    <x v="2"/>
    <s v="Kochi"/>
    <s v="Kerala"/>
    <x v="1"/>
    <m/>
    <x v="2"/>
    <x v="0"/>
    <x v="0"/>
    <x v="0"/>
    <x v="0"/>
    <x v="0"/>
    <n v="0"/>
    <n v="1999"/>
    <n v="1"/>
    <x v="3"/>
    <x v="11"/>
    <x v="1"/>
  </r>
  <r>
    <s v="UT-100111"/>
    <d v="2024-10-28T00:00:00"/>
    <s v="CUST_10110"/>
    <x v="0"/>
    <s v="DRS-FES-M"/>
    <x v="4"/>
    <s v="Festive Kurta Set"/>
    <n v="3499"/>
    <n v="1"/>
    <n v="3499"/>
    <s v="DIWALI40"/>
    <n v="40"/>
    <s v="Credit Card"/>
    <x v="0"/>
    <s v="Delhi"/>
    <s v="Delhi"/>
    <x v="2"/>
    <d v="2024-11-02T00:00:00"/>
    <x v="0"/>
    <x v="1"/>
    <x v="3"/>
    <x v="70"/>
    <x v="1"/>
    <x v="0"/>
    <n v="1399.6"/>
    <n v="3459"/>
    <n v="0.98856816233209488"/>
    <x v="0"/>
    <x v="9"/>
    <x v="0"/>
  </r>
  <r>
    <s v="UT-100223"/>
    <d v="2024-11-30T00:00:00"/>
    <s v="CUST_10222"/>
    <x v="1"/>
    <s v="BOT-LTX-S"/>
    <x v="2"/>
    <s v="Latex Pants"/>
    <n v="2799"/>
    <n v="1"/>
    <n v="2799"/>
    <s v=""/>
    <n v="0"/>
    <s v="Wallet"/>
    <x v="0"/>
    <s v="Thiruvananthapuram"/>
    <s v="Kerala"/>
    <x v="1"/>
    <d v="2024-12-15T00:00:00"/>
    <x v="0"/>
    <x v="0"/>
    <x v="0"/>
    <x v="0"/>
    <x v="0"/>
    <x v="0"/>
    <n v="0"/>
    <n v="2799"/>
    <n v="1"/>
    <x v="3"/>
    <x v="11"/>
    <x v="0"/>
  </r>
  <r>
    <s v="UT-100112"/>
    <d v="2024-10-28T00:00:00"/>
    <s v="CUST_10111"/>
    <x v="0"/>
    <s v="OUT-ETH-L"/>
    <x v="1"/>
    <s v="Embroidered Jacket"/>
    <n v="5999"/>
    <n v="1"/>
    <n v="5999"/>
    <s v="DIWALI40"/>
    <n v="40"/>
    <s v="COD"/>
    <x v="2"/>
    <s v="Mumbai"/>
    <s v="Maharashtra"/>
    <x v="0"/>
    <d v="2024-11-03T00:00:00"/>
    <x v="0"/>
    <x v="1"/>
    <x v="1"/>
    <x v="71"/>
    <x v="1"/>
    <x v="0"/>
    <n v="2399.6"/>
    <n v="5959"/>
    <n v="0.99333222203700622"/>
    <x v="0"/>
    <x v="9"/>
    <x v="1"/>
  </r>
  <r>
    <s v="UT-100113"/>
    <d v="2024-10-28T00:00:00"/>
    <s v="CUST_10112"/>
    <x v="0"/>
    <s v="TOP-FES-S"/>
    <x v="0"/>
    <s v="Festive Blouse"/>
    <n v="2299"/>
    <n v="2"/>
    <n v="4598"/>
    <s v="DIWALI40"/>
    <n v="40"/>
    <s v="UPI"/>
    <x v="1"/>
    <s v="Jaipur"/>
    <s v="Rajasthan"/>
    <x v="2"/>
    <d v="2024-11-04T00:00:00"/>
    <x v="0"/>
    <x v="1"/>
    <x v="3"/>
    <x v="72"/>
    <x v="1"/>
    <x v="0"/>
    <n v="1839.2"/>
    <n v="4558"/>
    <n v="0.99130056546324485"/>
    <x v="0"/>
    <x v="9"/>
    <x v="0"/>
  </r>
  <r>
    <s v="UT-100226"/>
    <d v="2024-12-01T00:00:00"/>
    <s v="CUST_10225"/>
    <x v="0"/>
    <s v="TOP-HOD-L"/>
    <x v="0"/>
    <s v="Zip Hoodie"/>
    <n v="2499"/>
    <n v="1"/>
    <n v="2499"/>
    <s v="Dec20"/>
    <n v="20"/>
    <s v="Credit Card"/>
    <x v="0"/>
    <s v="Mumbai"/>
    <s v="Maharashtra"/>
    <x v="0"/>
    <d v="2024-12-06T00:00:00"/>
    <x v="0"/>
    <x v="0"/>
    <x v="0"/>
    <x v="0"/>
    <x v="0"/>
    <x v="0"/>
    <n v="499.8"/>
    <n v="2479"/>
    <n v="0.99199679871948776"/>
    <x v="1"/>
    <x v="11"/>
    <x v="0"/>
  </r>
  <r>
    <s v="UT-100116"/>
    <d v="2024-10-29T00:00:00"/>
    <s v="CUST_10115"/>
    <x v="0"/>
    <s v="DRS-ANK-S"/>
    <x v="4"/>
    <s v="Anarkali Dress"/>
    <n v="4299"/>
    <n v="1"/>
    <n v="4299"/>
    <s v="DIWALI40"/>
    <n v="40"/>
    <s v="Debit Card"/>
    <x v="0"/>
    <s v="Hyderabad"/>
    <s v="Telangana"/>
    <x v="1"/>
    <d v="2024-11-05T00:00:00"/>
    <x v="0"/>
    <x v="1"/>
    <x v="5"/>
    <x v="73"/>
    <x v="1"/>
    <x v="0"/>
    <n v="1719.6"/>
    <n v="4259"/>
    <n v="0.99069551058385674"/>
    <x v="0"/>
    <x v="9"/>
    <x v="0"/>
  </r>
  <r>
    <s v="UT-100228"/>
    <d v="2024-12-01T00:00:00"/>
    <s v="CUST_10227"/>
    <x v="1"/>
    <s v="ACC-MFL-OS"/>
    <x v="3"/>
    <s v="Cashmere Scarf"/>
    <n v="1499"/>
    <n v="1"/>
    <n v="1499"/>
    <s v=""/>
    <n v="0"/>
    <s v="UPI"/>
    <x v="1"/>
    <s v="Chandigarh"/>
    <s v="Punjab"/>
    <x v="2"/>
    <d v="2024-12-07T00:00:00"/>
    <x v="0"/>
    <x v="0"/>
    <x v="0"/>
    <x v="0"/>
    <x v="0"/>
    <x v="0"/>
    <n v="0"/>
    <n v="1499"/>
    <n v="1"/>
    <x v="1"/>
    <x v="11"/>
    <x v="0"/>
  </r>
  <r>
    <s v="UT-100117"/>
    <d v="2024-10-29T00:00:00"/>
    <s v="CUST_10116"/>
    <x v="0"/>
    <s v="TOP-ETH-M"/>
    <x v="0"/>
    <s v="Embroidered Kurti"/>
    <n v="2599"/>
    <n v="1"/>
    <n v="2599"/>
    <s v="DIWALI40"/>
    <n v="40"/>
    <s v="UPI"/>
    <x v="1"/>
    <s v="Pune"/>
    <s v="Maharashtra"/>
    <x v="0"/>
    <d v="2024-11-06T00:00:00"/>
    <x v="0"/>
    <x v="1"/>
    <x v="4"/>
    <x v="74"/>
    <x v="2"/>
    <x v="0"/>
    <n v="1039.5999999999999"/>
    <n v="2559"/>
    <n v="0.98460946517891501"/>
    <x v="0"/>
    <x v="9"/>
    <x v="0"/>
  </r>
  <r>
    <s v="UT-100230"/>
    <d v="2024-12-02T00:00:00"/>
    <s v="CUST_10229"/>
    <x v="0"/>
    <s v="TOP-THR-L"/>
    <x v="0"/>
    <s v="Thermal Top"/>
    <n v="1599"/>
    <n v="2"/>
    <n v="3198"/>
    <s v=""/>
    <n v="0"/>
    <s v="Credit Card"/>
    <x v="2"/>
    <s v="Shimla"/>
    <s v="Himachal Pradesh"/>
    <x v="2"/>
    <d v="2024-12-09T00:00:00"/>
    <x v="0"/>
    <x v="0"/>
    <x v="0"/>
    <x v="0"/>
    <x v="0"/>
    <x v="0"/>
    <n v="0"/>
    <n v="3198"/>
    <n v="1"/>
    <x v="1"/>
    <x v="10"/>
    <x v="0"/>
  </r>
  <r>
    <s v="UT-100231"/>
    <d v="2024-12-02T00:00:00"/>
    <s v="CUST_10230"/>
    <x v="0"/>
    <s v="BOT-FLC-M"/>
    <x v="2"/>
    <s v="Fleece Joggers"/>
    <n v="1799"/>
    <n v="1"/>
    <n v="1799"/>
    <s v="Dec20"/>
    <n v="20"/>
    <s v="Wallet"/>
    <x v="1"/>
    <s v="Dehradun"/>
    <s v="Uttarakhand"/>
    <x v="2"/>
    <d v="2024-12-10T00:00:00"/>
    <x v="0"/>
    <x v="0"/>
    <x v="0"/>
    <x v="0"/>
    <x v="0"/>
    <x v="0"/>
    <n v="359.8"/>
    <n v="1779"/>
    <n v="0.98888271261812122"/>
    <x v="1"/>
    <x v="10"/>
    <x v="0"/>
  </r>
  <r>
    <s v="UT-100118"/>
    <d v="2024-10-29T00:00:00"/>
    <s v="CUST_10117"/>
    <x v="0"/>
    <s v="OUT-SHW-L"/>
    <x v="1"/>
    <s v="Pashmina Shawl"/>
    <n v="3999"/>
    <n v="1"/>
    <n v="3999"/>
    <s v="DIWALI40"/>
    <n v="40"/>
    <s v="Credit Card"/>
    <x v="2"/>
    <s v="Amritsar"/>
    <s v="Punjab"/>
    <x v="2"/>
    <d v="2024-11-07T00:00:00"/>
    <x v="0"/>
    <x v="1"/>
    <x v="3"/>
    <x v="75"/>
    <x v="1"/>
    <x v="0"/>
    <n v="1599.6"/>
    <n v="3959"/>
    <n v="0.98999749937484371"/>
    <x v="0"/>
    <x v="9"/>
    <x v="0"/>
  </r>
  <r>
    <s v="UT-100233"/>
    <d v="2024-12-02T00:00:00"/>
    <s v="CUST_10232"/>
    <x v="1"/>
    <s v="ACC-BNE-OS"/>
    <x v="3"/>
    <s v="Beanie Cap"/>
    <n v="599"/>
    <n v="2"/>
    <n v="1198"/>
    <s v="Dec20"/>
    <n v="20"/>
    <s v="COD"/>
    <x v="2"/>
    <s v="Manali"/>
    <s v="Himachal Pradesh"/>
    <x v="2"/>
    <d v="2024-12-10T00:00:00"/>
    <x v="0"/>
    <x v="0"/>
    <x v="0"/>
    <x v="0"/>
    <x v="0"/>
    <x v="0"/>
    <n v="239.6"/>
    <n v="1178"/>
    <n v="0.98330550918196991"/>
    <x v="1"/>
    <x v="10"/>
    <x v="1"/>
  </r>
  <r>
    <s v="UT-100119"/>
    <d v="2024-10-29T00:00:00"/>
    <s v="CUST_10118"/>
    <x v="1"/>
    <s v="DRS-LHG-M"/>
    <x v="4"/>
    <s v="Lehenga Set"/>
    <n v="8999"/>
    <n v="1"/>
    <n v="8999"/>
    <s v="DIWALI40"/>
    <n v="40"/>
    <s v="Credit Card"/>
    <x v="0"/>
    <s v="Ahmedabad"/>
    <s v="Gujarat"/>
    <x v="0"/>
    <d v="2024-11-06T00:00:00"/>
    <x v="0"/>
    <x v="1"/>
    <x v="3"/>
    <x v="76"/>
    <x v="1"/>
    <x v="0"/>
    <n v="3599.6"/>
    <n v="8959"/>
    <n v="0.99555506167351926"/>
    <x v="0"/>
    <x v="9"/>
    <x v="0"/>
  </r>
  <r>
    <s v="UT-100235"/>
    <d v="2024-12-03T00:00:00"/>
    <s v="CUST_10234"/>
    <x v="0"/>
    <s v="DRS-WRM-M"/>
    <x v="4"/>
    <s v="Wrap Dress"/>
    <n v="2499"/>
    <n v="1"/>
    <n v="2499"/>
    <s v="Dec20"/>
    <n v="20"/>
    <s v="Credit Card"/>
    <x v="0"/>
    <s v="Gangtok"/>
    <s v="Sikkim"/>
    <x v="2"/>
    <d v="2024-12-12T00:00:00"/>
    <x v="0"/>
    <x v="0"/>
    <x v="0"/>
    <x v="0"/>
    <x v="0"/>
    <x v="0"/>
    <n v="499.8"/>
    <n v="2479"/>
    <n v="0.99199679871948776"/>
    <x v="1"/>
    <x v="10"/>
    <x v="0"/>
  </r>
  <r>
    <s v="UT-100120"/>
    <d v="2024-10-29T00:00:00"/>
    <s v="CUST_10119"/>
    <x v="0"/>
    <s v="ACC-STL-OS"/>
    <x v="3"/>
    <s v="Statement Necklace"/>
    <n v="1299"/>
    <n v="2"/>
    <n v="2598"/>
    <s v="DIWALI40"/>
    <n v="40"/>
    <s v="COD"/>
    <x v="1"/>
    <s v="Kolkata"/>
    <s v="West Bengal"/>
    <x v="2"/>
    <d v="2024-11-08T00:00:00"/>
    <x v="0"/>
    <x v="1"/>
    <x v="2"/>
    <x v="77"/>
    <x v="1"/>
    <x v="0"/>
    <n v="1039.2"/>
    <n v="2558"/>
    <n v="0.98460354118552729"/>
    <x v="0"/>
    <x v="9"/>
    <x v="1"/>
  </r>
  <r>
    <s v="UT-100237"/>
    <d v="2024-12-03T00:00:00"/>
    <s v="CUST_10236"/>
    <x v="0"/>
    <s v="OUT-DWN-M"/>
    <x v="1"/>
    <s v="Down Jacket"/>
    <n v="7999"/>
    <n v="1"/>
    <n v="7999"/>
    <s v="Dec20"/>
    <n v="20"/>
    <s v="Wallet"/>
    <x v="1"/>
    <s v="Leh"/>
    <s v="Ladakh"/>
    <x v="2"/>
    <d v="2024-12-14T00:00:00"/>
    <x v="0"/>
    <x v="0"/>
    <x v="0"/>
    <x v="0"/>
    <x v="0"/>
    <x v="0"/>
    <n v="1599.8"/>
    <n v="7979"/>
    <n v="0.99749968746093265"/>
    <x v="1"/>
    <x v="10"/>
    <x v="0"/>
  </r>
  <r>
    <s v="UT-100238"/>
    <d v="2024-12-04T00:00:00"/>
    <s v="CUST_10237"/>
    <x v="1"/>
    <s v="TOP-VLV-S"/>
    <x v="0"/>
    <s v="Velvet Top"/>
    <n v="1999"/>
    <n v="1"/>
    <n v="1999"/>
    <s v=""/>
    <n v="0"/>
    <s v="Credit Card"/>
    <x v="0"/>
    <s v="Ooty"/>
    <s v="Tamil Nadu"/>
    <x v="1"/>
    <d v="2024-12-13T00:00:00"/>
    <x v="0"/>
    <x v="0"/>
    <x v="0"/>
    <x v="0"/>
    <x v="0"/>
    <x v="0"/>
    <n v="0"/>
    <n v="1999"/>
    <n v="1"/>
    <x v="1"/>
    <x v="10"/>
    <x v="0"/>
  </r>
  <r>
    <s v="UT-100239"/>
    <d v="2024-12-04T00:00:00"/>
    <s v="CUST_10238"/>
    <x v="0"/>
    <s v="ACC-ERM-OS"/>
    <x v="3"/>
    <s v="Ear Muffs"/>
    <n v="499"/>
    <n v="2"/>
    <n v="998"/>
    <s v="Dec20"/>
    <n v="20"/>
    <s v="COD"/>
    <x v="2"/>
    <s v="Munnar"/>
    <s v="Kerala"/>
    <x v="1"/>
    <d v="2024-12-13T00:00:00"/>
    <x v="0"/>
    <x v="0"/>
    <x v="0"/>
    <x v="0"/>
    <x v="0"/>
    <x v="0"/>
    <n v="199.6"/>
    <n v="978"/>
    <n v="0.97995991983967934"/>
    <x v="1"/>
    <x v="10"/>
    <x v="1"/>
  </r>
  <r>
    <s v="UT-100121"/>
    <d v="2024-10-29T00:00:00"/>
    <s v="CUST_10120"/>
    <x v="0"/>
    <s v="TOP-SQN-S"/>
    <x v="0"/>
    <s v="Sequin Top"/>
    <n v="1999"/>
    <n v="1"/>
    <n v="1999"/>
    <s v="DIWALI40"/>
    <n v="40"/>
    <s v="UPI"/>
    <x v="2"/>
    <s v="Bangalore"/>
    <s v="Karnataka"/>
    <x v="1"/>
    <d v="2024-11-07T00:00:00"/>
    <x v="0"/>
    <x v="1"/>
    <x v="5"/>
    <x v="78"/>
    <x v="1"/>
    <x v="0"/>
    <n v="799.6"/>
    <n v="1959"/>
    <n v="0.97998999499749873"/>
    <x v="0"/>
    <x v="9"/>
    <x v="0"/>
  </r>
  <r>
    <s v="UT-100241"/>
    <d v="2024-12-04T00:00:00"/>
    <s v="CUST_10240"/>
    <x v="0"/>
    <s v="TOP-SPK-M"/>
    <x v="0"/>
    <s v="Sparkle Top"/>
    <n v="2299"/>
    <n v="1"/>
    <n v="2299"/>
    <s v="Dec20"/>
    <n v="20"/>
    <s v="UPI"/>
    <x v="0"/>
    <s v="Mumbai"/>
    <s v="Maharashtra"/>
    <x v="0"/>
    <d v="2024-12-13T00:00:00"/>
    <x v="0"/>
    <x v="0"/>
    <x v="0"/>
    <x v="0"/>
    <x v="0"/>
    <x v="0"/>
    <n v="459.8"/>
    <n v="2279"/>
    <n v="0.99130056546324485"/>
    <x v="1"/>
    <x v="10"/>
    <x v="0"/>
  </r>
  <r>
    <s v="UT-100122"/>
    <d v="2024-10-30T00:00:00"/>
    <s v="CUST_10121"/>
    <x v="0"/>
    <s v="BOT-LHG-S"/>
    <x v="2"/>
    <s v="Lehenga Skirt"/>
    <n v="5499"/>
    <n v="1"/>
    <n v="5499"/>
    <s v="DIWALI40"/>
    <n v="40"/>
    <s v="Wallet"/>
    <x v="0"/>
    <s v="Surat"/>
    <s v="Gujarat"/>
    <x v="0"/>
    <d v="2024-11-08T00:00:00"/>
    <x v="0"/>
    <x v="1"/>
    <x v="3"/>
    <x v="75"/>
    <x v="1"/>
    <x v="0"/>
    <n v="2199.6"/>
    <n v="5459"/>
    <n v="0.99272595017275866"/>
    <x v="0"/>
    <x v="9"/>
    <x v="0"/>
  </r>
  <r>
    <s v="UT-100123"/>
    <d v="2024-10-30T00:00:00"/>
    <s v="CUST_10122"/>
    <x v="0"/>
    <s v="DRS-SAR-M"/>
    <x v="4"/>
    <s v="Saree Gown"/>
    <n v="6999"/>
    <n v="1"/>
    <n v="6999"/>
    <s v="DIWALI40"/>
    <n v="40"/>
    <s v="Credit Card"/>
    <x v="1"/>
    <s v="Mumbai"/>
    <s v="Maharashtra"/>
    <x v="0"/>
    <d v="2024-11-09T00:00:00"/>
    <x v="0"/>
    <x v="1"/>
    <x v="3"/>
    <x v="78"/>
    <x v="1"/>
    <x v="0"/>
    <n v="2799.6"/>
    <n v="6959"/>
    <n v="0.99428489784254892"/>
    <x v="0"/>
    <x v="9"/>
    <x v="0"/>
  </r>
  <r>
    <s v="UT-100244"/>
    <d v="2024-12-05T00:00:00"/>
    <s v="CUST_10243"/>
    <x v="0"/>
    <s v="ACC-CLT-OS"/>
    <x v="3"/>
    <s v="Evening Clutch"/>
    <n v="1799"/>
    <n v="1"/>
    <n v="1799"/>
    <s v=""/>
    <n v="0"/>
    <s v="UPI"/>
    <x v="0"/>
    <s v="Hyderabad"/>
    <s v="Telangana"/>
    <x v="1"/>
    <d v="2024-12-16T00:00:00"/>
    <x v="0"/>
    <x v="0"/>
    <x v="0"/>
    <x v="0"/>
    <x v="0"/>
    <x v="0"/>
    <n v="0"/>
    <n v="1799"/>
    <n v="1"/>
    <x v="1"/>
    <x v="10"/>
    <x v="0"/>
  </r>
  <r>
    <s v="UT-100245"/>
    <d v="2024-12-05T00:00:00"/>
    <s v="CUST_10244"/>
    <x v="0"/>
    <s v="TOP-MET-S"/>
    <x v="0"/>
    <s v="Metallic Blouse"/>
    <n v="2199"/>
    <n v="1"/>
    <n v="2199"/>
    <s v=""/>
    <n v="0"/>
    <s v="Debit Card"/>
    <x v="2"/>
    <s v="Chennai"/>
    <s v="Tamil Nadu"/>
    <x v="1"/>
    <d v="2024-12-16T00:00:00"/>
    <x v="0"/>
    <x v="0"/>
    <x v="0"/>
    <x v="0"/>
    <x v="0"/>
    <x v="0"/>
    <n v="0"/>
    <n v="2199"/>
    <n v="1"/>
    <x v="1"/>
    <x v="10"/>
    <x v="0"/>
  </r>
  <r>
    <s v="UT-100126"/>
    <d v="2024-10-30T00:00:00"/>
    <s v="CUST_10125"/>
    <x v="0"/>
    <s v="TOP-ZAR-L"/>
    <x v="0"/>
    <s v="Zardozi Blouse"/>
    <n v="3299"/>
    <n v="1"/>
    <n v="3299"/>
    <s v="DIWALI40"/>
    <n v="40"/>
    <s v="COD"/>
    <x v="1"/>
    <s v="Jaipur"/>
    <s v="Rajasthan"/>
    <x v="2"/>
    <d v="2024-11-12T00:00:00"/>
    <x v="0"/>
    <x v="1"/>
    <x v="1"/>
    <x v="79"/>
    <x v="2"/>
    <x v="0"/>
    <n v="1319.6"/>
    <n v="3259"/>
    <n v="0.98787511367080938"/>
    <x v="0"/>
    <x v="9"/>
    <x v="1"/>
  </r>
  <r>
    <s v="UT-100247"/>
    <d v="2024-12-06T00:00:00"/>
    <s v="CUST_10246"/>
    <x v="0"/>
    <s v="BOT-SLK-S"/>
    <x v="2"/>
    <s v="Silk Trousers"/>
    <n v="2899"/>
    <n v="1"/>
    <n v="2899"/>
    <s v=""/>
    <n v="0"/>
    <s v="Credit Card"/>
    <x v="0"/>
    <s v="Kolkata"/>
    <s v="West Bengal"/>
    <x v="2"/>
    <d v="2024-12-18T00:00:00"/>
    <x v="0"/>
    <x v="0"/>
    <x v="0"/>
    <x v="0"/>
    <x v="0"/>
    <x v="0"/>
    <n v="0"/>
    <n v="2899"/>
    <n v="1"/>
    <x v="1"/>
    <x v="10"/>
    <x v="0"/>
  </r>
  <r>
    <s v="UT-100127"/>
    <d v="2024-10-31T00:00:00"/>
    <s v="CUST_10126"/>
    <x v="0"/>
    <s v="DRS-FES-L"/>
    <x v="4"/>
    <s v="Festive Gown"/>
    <n v="7499"/>
    <n v="1"/>
    <n v="7499"/>
    <s v="DIWALI40"/>
    <n v="40"/>
    <s v="Credit Card"/>
    <x v="0"/>
    <s v="Lucknow"/>
    <s v="Uttar Pradesh"/>
    <x v="2"/>
    <d v="2024-11-11T00:00:00"/>
    <x v="0"/>
    <x v="1"/>
    <x v="3"/>
    <x v="80"/>
    <x v="1"/>
    <x v="0"/>
    <n v="2999.6"/>
    <n v="7459"/>
    <n v="0.99466595546072811"/>
    <x v="0"/>
    <x v="9"/>
    <x v="0"/>
  </r>
  <r>
    <s v="UT-100249"/>
    <d v="2024-12-06T00:00:00"/>
    <s v="CUST_10248"/>
    <x v="0"/>
    <s v="ACC-HDB-OS"/>
    <x v="3"/>
    <s v="Embellished Handbag"/>
    <n v="2499"/>
    <n v="1"/>
    <n v="2499"/>
    <s v=""/>
    <n v="0"/>
    <s v="Wallet"/>
    <x v="1"/>
    <s v="Lucknow"/>
    <s v="Uttar Pradesh"/>
    <x v="2"/>
    <d v="2024-12-19T00:00:00"/>
    <x v="0"/>
    <x v="0"/>
    <x v="0"/>
    <x v="0"/>
    <x v="0"/>
    <x v="0"/>
    <n v="0"/>
    <n v="2499"/>
    <n v="1"/>
    <x v="1"/>
    <x v="10"/>
    <x v="0"/>
  </r>
  <r>
    <s v="UT-100250"/>
    <d v="2024-12-07T00:00:00"/>
    <s v="CUST_10249"/>
    <x v="0"/>
    <s v="TOP-NYE-XS"/>
    <x v="0"/>
    <s v="Party Bodysuit"/>
    <n v="1899"/>
    <n v="1"/>
    <n v="1899"/>
    <s v=""/>
    <n v="0"/>
    <s v="Debit Card"/>
    <x v="0"/>
    <s v="Goa"/>
    <s v="Goa"/>
    <x v="0"/>
    <m/>
    <x v="2"/>
    <x v="0"/>
    <x v="0"/>
    <x v="0"/>
    <x v="0"/>
    <x v="0"/>
    <n v="0"/>
    <n v="1899"/>
    <n v="1"/>
    <x v="1"/>
    <x v="10"/>
    <x v="0"/>
  </r>
  <r>
    <s v="UT-100251"/>
    <d v="2024-12-07T00:00:00"/>
    <s v="CUST_10250"/>
    <x v="0"/>
    <s v="DRS-CCT-S"/>
    <x v="4"/>
    <s v="Cocktail Dress"/>
    <n v="3299"/>
    <n v="1"/>
    <n v="3299"/>
    <s v="Dec20"/>
    <n v="20"/>
    <s v="Credit Card"/>
    <x v="2"/>
    <s v="Mumbai"/>
    <s v="Maharashtra"/>
    <x v="0"/>
    <d v="2024-12-20T00:00:00"/>
    <x v="0"/>
    <x v="0"/>
    <x v="0"/>
    <x v="0"/>
    <x v="0"/>
    <x v="0"/>
    <n v="659.8"/>
    <n v="3279"/>
    <n v="0.99393755683540463"/>
    <x v="1"/>
    <x v="10"/>
    <x v="0"/>
  </r>
  <r>
    <s v="UT-100128"/>
    <d v="2024-10-31T00:00:00"/>
    <s v="CUST_10127"/>
    <x v="0"/>
    <s v="BOT-SLK-M"/>
    <x v="2"/>
    <s v="Silk Pants"/>
    <n v="3299"/>
    <n v="1"/>
    <n v="3299"/>
    <s v="DIWALI40"/>
    <n v="40"/>
    <s v="UPI"/>
    <x v="2"/>
    <s v="Chandigarh"/>
    <s v="Punjab"/>
    <x v="2"/>
    <d v="2024-11-12T00:00:00"/>
    <x v="0"/>
    <x v="1"/>
    <x v="4"/>
    <x v="81"/>
    <x v="1"/>
    <x v="0"/>
    <n v="1319.6"/>
    <n v="3259"/>
    <n v="0.98787511367080938"/>
    <x v="0"/>
    <x v="9"/>
    <x v="0"/>
  </r>
  <r>
    <s v="UT-100253"/>
    <d v="2024-12-07T00:00:00"/>
    <s v="CUST_10252"/>
    <x v="1"/>
    <s v="OUT-BLZ-S"/>
    <x v="1"/>
    <s v="Tuxedo Blazer"/>
    <n v="5499"/>
    <n v="1"/>
    <n v="5499"/>
    <s v="Dec20"/>
    <n v="20"/>
    <s v="UPI"/>
    <x v="0"/>
    <s v="Bangalore"/>
    <s v="Karnataka"/>
    <x v="1"/>
    <d v="2024-12-21T00:00:00"/>
    <x v="0"/>
    <x v="0"/>
    <x v="0"/>
    <x v="0"/>
    <x v="0"/>
    <x v="0"/>
    <n v="1099.8"/>
    <n v="5479"/>
    <n v="0.99636297508637939"/>
    <x v="1"/>
    <x v="10"/>
    <x v="0"/>
  </r>
  <r>
    <s v="UT-100254"/>
    <d v="2024-12-08T00:00:00"/>
    <s v="CUST_10253"/>
    <x v="0"/>
    <s v="ACC-TRA-OS"/>
    <x v="3"/>
    <s v="Tiara Headband"/>
    <n v="999"/>
    <n v="1"/>
    <n v="999"/>
    <s v=""/>
    <n v="0"/>
    <s v="Wallet"/>
    <x v="2"/>
    <s v="Ahmedabad"/>
    <s v="Gujarat"/>
    <x v="0"/>
    <d v="2024-12-22T00:00:00"/>
    <x v="0"/>
    <x v="0"/>
    <x v="0"/>
    <x v="0"/>
    <x v="0"/>
    <x v="0"/>
    <n v="0"/>
    <n v="999"/>
    <n v="1"/>
    <x v="1"/>
    <x v="10"/>
    <x v="0"/>
  </r>
  <r>
    <s v="UT-100129"/>
    <d v="2024-10-31T00:00:00"/>
    <s v="CUST_10128"/>
    <x v="1"/>
    <s v="OUT-VLV-L"/>
    <x v="1"/>
    <s v="Velvet Jacket"/>
    <n v="5499"/>
    <n v="1"/>
    <n v="5499"/>
    <s v="DIWALI40"/>
    <n v="40"/>
    <s v="Debit Card"/>
    <x v="1"/>
    <s v="Noida"/>
    <s v="Uttar Pradesh"/>
    <x v="2"/>
    <d v="2024-11-13T00:00:00"/>
    <x v="0"/>
    <x v="1"/>
    <x v="5"/>
    <x v="82"/>
    <x v="1"/>
    <x v="0"/>
    <n v="2199.6"/>
    <n v="5459"/>
    <n v="0.99272595017275866"/>
    <x v="0"/>
    <x v="9"/>
    <x v="0"/>
  </r>
  <r>
    <s v="UT-100131"/>
    <d v="2024-10-31T00:00:00"/>
    <s v="CUST_10130"/>
    <x v="0"/>
    <s v="TOP-GOT-S"/>
    <x v="0"/>
    <s v="Gota Patti Top"/>
    <n v="2799"/>
    <n v="1"/>
    <n v="2799"/>
    <s v="DIWALI40"/>
    <n v="40"/>
    <s v="Wallet"/>
    <x v="2"/>
    <s v="Indore"/>
    <s v="Madhya Pradesh"/>
    <x v="0"/>
    <d v="2024-11-12T00:00:00"/>
    <x v="0"/>
    <x v="1"/>
    <x v="3"/>
    <x v="83"/>
    <x v="1"/>
    <x v="0"/>
    <n v="1119.5999999999999"/>
    <n v="2759"/>
    <n v="0.98570918185066092"/>
    <x v="0"/>
    <x v="9"/>
    <x v="0"/>
  </r>
  <r>
    <s v="UT-100257"/>
    <d v="2024-12-08T00:00:00"/>
    <s v="CUST_10256"/>
    <x v="0"/>
    <s v="BOT-WDE-L"/>
    <x v="2"/>
    <s v="Wide Leg Pants"/>
    <n v="2299"/>
    <n v="1"/>
    <n v="2299"/>
    <s v=""/>
    <n v="0"/>
    <s v="UPI"/>
    <x v="2"/>
    <s v="Rajkot"/>
    <s v="Gujarat"/>
    <x v="0"/>
    <d v="2024-12-23T00:00:00"/>
    <x v="0"/>
    <x v="0"/>
    <x v="0"/>
    <x v="0"/>
    <x v="0"/>
    <x v="0"/>
    <n v="0"/>
    <n v="2299"/>
    <n v="1"/>
    <x v="1"/>
    <x v="10"/>
    <x v="0"/>
  </r>
  <r>
    <s v="UT-100132"/>
    <d v="2024-11-01T00:00:00"/>
    <s v="CUST_10131"/>
    <x v="0"/>
    <s v="DRS-BND-M"/>
    <x v="4"/>
    <s v="Bandhani Dress"/>
    <n v="3899"/>
    <n v="1"/>
    <n v="3899"/>
    <s v="DIWALI40"/>
    <n v="40"/>
    <s v="Credit Card"/>
    <x v="1"/>
    <s v="Surat"/>
    <s v="Gujarat"/>
    <x v="0"/>
    <d v="2024-11-10T00:00:00"/>
    <x v="0"/>
    <x v="1"/>
    <x v="1"/>
    <x v="79"/>
    <x v="1"/>
    <x v="0"/>
    <n v="1559.6"/>
    <n v="3859"/>
    <n v="0.98974095922031291"/>
    <x v="3"/>
    <x v="9"/>
    <x v="0"/>
  </r>
  <r>
    <s v="UT-100259"/>
    <d v="2024-12-09T00:00:00"/>
    <s v="CUST_10258"/>
    <x v="0"/>
    <s v="ACC-PRT-OS"/>
    <x v="3"/>
    <s v="Party Earrings"/>
    <n v="899"/>
    <n v="2"/>
    <n v="1798"/>
    <s v="Dec20"/>
    <n v="20"/>
    <s v="Wallet"/>
    <x v="0"/>
    <s v="Mumbai"/>
    <s v="Maharashtra"/>
    <x v="0"/>
    <d v="2024-12-23T00:00:00"/>
    <x v="0"/>
    <x v="0"/>
    <x v="0"/>
    <x v="0"/>
    <x v="0"/>
    <x v="0"/>
    <n v="359.6"/>
    <n v="1778"/>
    <n v="0.98887652947719684"/>
    <x v="1"/>
    <x v="8"/>
    <x v="0"/>
  </r>
  <r>
    <s v="UT-100134"/>
    <d v="2024-11-01T00:00:00"/>
    <s v="CUST_10133"/>
    <x v="1"/>
    <s v="OUT-ZRI-M"/>
    <x v="1"/>
    <s v="Zari Work Jacket"/>
    <n v="6499"/>
    <n v="1"/>
    <n v="6499"/>
    <s v="DIWALI40"/>
    <n v="40"/>
    <s v="Credit Card"/>
    <x v="2"/>
    <s v="Bhopal"/>
    <s v="Madhya Pradesh"/>
    <x v="0"/>
    <d v="2024-11-13T00:00:00"/>
    <x v="0"/>
    <x v="1"/>
    <x v="3"/>
    <x v="84"/>
    <x v="1"/>
    <x v="0"/>
    <n v="2599.6"/>
    <n v="6459"/>
    <n v="0.99384520695491618"/>
    <x v="3"/>
    <x v="9"/>
    <x v="0"/>
  </r>
  <r>
    <s v="UT-100136"/>
    <d v="2024-11-02T00:00:00"/>
    <s v="CUST_10135"/>
    <x v="0"/>
    <s v="TOP-MRR-S"/>
    <x v="0"/>
    <s v="Mirror Work Top"/>
    <n v="2499"/>
    <n v="1"/>
    <n v="2499"/>
    <s v="DIWALI40"/>
    <n v="40"/>
    <s v="COD"/>
    <x v="0"/>
    <s v="Coimbatore"/>
    <s v="Tamil Nadu"/>
    <x v="1"/>
    <d v="2024-11-12T00:00:00"/>
    <x v="0"/>
    <x v="1"/>
    <x v="5"/>
    <x v="82"/>
    <x v="1"/>
    <x v="0"/>
    <n v="999.6"/>
    <n v="2459"/>
    <n v="0.98399359743897563"/>
    <x v="3"/>
    <x v="9"/>
    <x v="1"/>
  </r>
  <r>
    <s v="UT-100262"/>
    <d v="2024-12-10T00:00:00"/>
    <s v="CUST_10261"/>
    <x v="0"/>
    <s v="BOT-GLM-S"/>
    <x v="2"/>
    <s v="Glam Pants"/>
    <n v="2499"/>
    <n v="1"/>
    <n v="2499"/>
    <s v="Dec20"/>
    <n v="20"/>
    <s v="UPI"/>
    <x v="0"/>
    <s v="Noida"/>
    <s v="Uttar Pradesh"/>
    <x v="2"/>
    <d v="2024-12-25T00:00:00"/>
    <x v="0"/>
    <x v="0"/>
    <x v="0"/>
    <x v="0"/>
    <x v="0"/>
    <x v="0"/>
    <n v="499.8"/>
    <n v="2479"/>
    <n v="0.99199679871948776"/>
    <x v="1"/>
    <x v="8"/>
    <x v="0"/>
  </r>
  <r>
    <s v="UT-100137"/>
    <d v="2024-11-02T00:00:00"/>
    <s v="CUST_10136"/>
    <x v="0"/>
    <s v="DRS-PTL-M"/>
    <x v="4"/>
    <s v="Patiala Suit"/>
    <n v="4599"/>
    <n v="1"/>
    <n v="4599"/>
    <s v="DIWALI40"/>
    <n v="40"/>
    <s v="UPI"/>
    <x v="2"/>
    <s v="Kochi"/>
    <s v="Kerala"/>
    <x v="1"/>
    <d v="2024-11-14T00:00:00"/>
    <x v="0"/>
    <x v="1"/>
    <x v="3"/>
    <x v="85"/>
    <x v="1"/>
    <x v="0"/>
    <n v="1839.6"/>
    <n v="4559"/>
    <n v="0.99130245705588171"/>
    <x v="3"/>
    <x v="9"/>
    <x v="0"/>
  </r>
  <r>
    <s v="UT-100264"/>
    <d v="2024-12-10T00:00:00"/>
    <s v="CUST_10263"/>
    <x v="0"/>
    <s v="ACC-NYE-OS"/>
    <x v="3"/>
    <s v="NYE Headpiece"/>
    <n v="1199"/>
    <n v="1"/>
    <n v="1199"/>
    <s v=""/>
    <n v="0"/>
    <s v="Wallet"/>
    <x v="1"/>
    <s v="Indore"/>
    <s v="Madhya Pradesh"/>
    <x v="0"/>
    <d v="2024-12-25T00:00:00"/>
    <x v="0"/>
    <x v="0"/>
    <x v="0"/>
    <x v="0"/>
    <x v="0"/>
    <x v="0"/>
    <n v="0"/>
    <n v="1199"/>
    <n v="1"/>
    <x v="1"/>
    <x v="8"/>
    <x v="0"/>
  </r>
  <r>
    <s v="UT-100139"/>
    <d v="2024-11-02T00:00:00"/>
    <s v="CUST_10138"/>
    <x v="1"/>
    <s v="OUT-KTN-M"/>
    <x v="1"/>
    <s v="Katan Silk Jacket"/>
    <n v="7999"/>
    <n v="1"/>
    <n v="7999"/>
    <s v="DIWALI40"/>
    <n v="40"/>
    <s v="Wallet"/>
    <x v="0"/>
    <s v="Thiruvananthapuram"/>
    <s v="Kerala"/>
    <x v="1"/>
    <d v="2024-11-15T00:00:00"/>
    <x v="0"/>
    <x v="1"/>
    <x v="4"/>
    <x v="86"/>
    <x v="1"/>
    <x v="0"/>
    <n v="3199.6"/>
    <n v="7959"/>
    <n v="0.99499937492186519"/>
    <x v="3"/>
    <x v="9"/>
    <x v="0"/>
  </r>
  <r>
    <s v="UT-100266"/>
    <d v="2024-12-11T00:00:00"/>
    <s v="CUST_10265"/>
    <x v="0"/>
    <s v="DRS-CNT-L"/>
    <x v="4"/>
    <s v="Countdown Dress"/>
    <n v="3599"/>
    <n v="1"/>
    <n v="3599"/>
    <s v=""/>
    <n v="0"/>
    <s v="Credit Card"/>
    <x v="2"/>
    <s v="Patna"/>
    <s v="Bihar"/>
    <x v="2"/>
    <d v="2024-12-27T00:00:00"/>
    <x v="0"/>
    <x v="0"/>
    <x v="0"/>
    <x v="0"/>
    <x v="0"/>
    <x v="0"/>
    <n v="0"/>
    <n v="3599"/>
    <n v="1"/>
    <x v="1"/>
    <x v="8"/>
    <x v="0"/>
  </r>
  <r>
    <s v="UT-100140"/>
    <d v="2024-11-03T00:00:00"/>
    <s v="CUST_10139"/>
    <x v="0"/>
    <s v="ACC-KDN-OS"/>
    <x v="3"/>
    <s v="Kundan Set"/>
    <n v="2499"/>
    <n v="1"/>
    <n v="2499"/>
    <s v="DIWALI40"/>
    <n v="40"/>
    <s v="Debit Card"/>
    <x v="2"/>
    <s v="Mysore"/>
    <s v="Karnataka"/>
    <x v="1"/>
    <d v="2024-11-14T00:00:00"/>
    <x v="0"/>
    <x v="1"/>
    <x v="2"/>
    <x v="85"/>
    <x v="1"/>
    <x v="0"/>
    <n v="999.6"/>
    <n v="2459"/>
    <n v="0.98399359743897563"/>
    <x v="3"/>
    <x v="9"/>
    <x v="0"/>
  </r>
  <r>
    <s v="UT-100141"/>
    <d v="2024-11-03T00:00:00"/>
    <s v="CUST_10140"/>
    <x v="0"/>
    <s v="TOP-CHK-L"/>
    <x v="0"/>
    <s v="Chikankari Top"/>
    <n v="2299"/>
    <n v="1"/>
    <n v="2299"/>
    <s v="DIWALI40"/>
    <n v="40"/>
    <s v="UPI"/>
    <x v="1"/>
    <s v="Vadodara"/>
    <s v="Gujarat"/>
    <x v="0"/>
    <d v="2024-11-15T00:00:00"/>
    <x v="0"/>
    <x v="1"/>
    <x v="3"/>
    <x v="87"/>
    <x v="1"/>
    <x v="0"/>
    <n v="919.6"/>
    <n v="2259"/>
    <n v="0.98260113092648982"/>
    <x v="3"/>
    <x v="9"/>
    <x v="0"/>
  </r>
  <r>
    <s v="UT-100269"/>
    <d v="2024-12-11T00:00:00"/>
    <s v="CUST_10268"/>
    <x v="0"/>
    <s v="ACC-MSK-OS"/>
    <x v="3"/>
    <s v="Mask Chain"/>
    <n v="399"/>
    <n v="3"/>
    <n v="1197"/>
    <s v=""/>
    <n v="0"/>
    <s v="Wallet"/>
    <x v="2"/>
    <s v="Coimbatore"/>
    <s v="Tamil Nadu"/>
    <x v="1"/>
    <d v="2024-12-27T00:00:00"/>
    <x v="0"/>
    <x v="0"/>
    <x v="0"/>
    <x v="0"/>
    <x v="0"/>
    <x v="0"/>
    <n v="0"/>
    <n v="1197"/>
    <n v="1"/>
    <x v="1"/>
    <x v="8"/>
    <x v="0"/>
  </r>
  <r>
    <s v="UT-100142"/>
    <d v="2024-11-03T00:00:00"/>
    <s v="CUST_10141"/>
    <x v="0"/>
    <s v="DRS-SHR-S"/>
    <x v="4"/>
    <s v="Sharara Set"/>
    <n v="5999"/>
    <n v="1"/>
    <n v="5999"/>
    <s v="DIWALI40"/>
    <n v="40"/>
    <s v="Credit Card"/>
    <x v="0"/>
    <s v="Rajkot"/>
    <s v="Gujarat"/>
    <x v="0"/>
    <d v="2024-11-16T00:00:00"/>
    <x v="0"/>
    <x v="1"/>
    <x v="1"/>
    <x v="64"/>
    <x v="1"/>
    <x v="0"/>
    <n v="2399.6"/>
    <n v="5959"/>
    <n v="0.99333222203700622"/>
    <x v="3"/>
    <x v="9"/>
    <x v="0"/>
  </r>
  <r>
    <s v="UT-100271"/>
    <d v="2024-12-12T00:00:00"/>
    <s v="CUST_10270"/>
    <x v="0"/>
    <s v="DRS-MID-S"/>
    <x v="4"/>
    <s v="Midnight Dress"/>
    <n v="4299"/>
    <n v="1"/>
    <n v="4299"/>
    <s v="Dec20"/>
    <n v="20"/>
    <s v="Credit Card"/>
    <x v="0"/>
    <s v="Vizag"/>
    <s v="Andhra Pradesh"/>
    <x v="1"/>
    <d v="2024-12-29T00:00:00"/>
    <x v="0"/>
    <x v="0"/>
    <x v="0"/>
    <x v="0"/>
    <x v="0"/>
    <x v="0"/>
    <n v="859.8"/>
    <n v="4279"/>
    <n v="0.99534775529192832"/>
    <x v="1"/>
    <x v="8"/>
    <x v="0"/>
  </r>
  <r>
    <s v="UT-100086"/>
    <d v="2024-10-21T00:00:00"/>
    <s v="CUST_10085"/>
    <x v="1"/>
    <s v="DRS-RFL-S"/>
    <x v="4"/>
    <s v="Ruffle Dress"/>
    <n v="2699"/>
    <n v="1"/>
    <n v="2699"/>
    <s v="DIWALI20"/>
    <n v="20"/>
    <s v="Credit Card"/>
    <x v="2"/>
    <s v="Kanpur"/>
    <s v="Uttar Pradesh"/>
    <x v="2"/>
    <d v="2024-11-01T00:00:00"/>
    <x v="0"/>
    <x v="1"/>
    <x v="5"/>
    <x v="77"/>
    <x v="1"/>
    <x v="0"/>
    <n v="539.79999999999995"/>
    <n v="2679"/>
    <n v="0.99258984809188588"/>
    <x v="0"/>
    <x v="7"/>
    <x v="0"/>
  </r>
  <r>
    <s v="UT-100273"/>
    <d v="2024-12-12T00:00:00"/>
    <s v="CUST_10272"/>
    <x v="1"/>
    <s v="OUT-FRS-L"/>
    <x v="1"/>
    <s v="Frost Jacket"/>
    <n v="6299"/>
    <n v="1"/>
    <n v="6299"/>
    <s v=""/>
    <n v="0"/>
    <s v="COD"/>
    <x v="1"/>
    <s v="Mysore"/>
    <s v="Karnataka"/>
    <x v="1"/>
    <m/>
    <x v="2"/>
    <x v="0"/>
    <x v="0"/>
    <x v="0"/>
    <x v="0"/>
    <x v="0"/>
    <n v="0"/>
    <n v="6299"/>
    <n v="1"/>
    <x v="1"/>
    <x v="8"/>
    <x v="1"/>
  </r>
  <r>
    <s v="UT-100274"/>
    <d v="2024-12-13T00:00:00"/>
    <s v="CUST_10273"/>
    <x v="0"/>
    <s v="ACC-SPR-OS"/>
    <x v="3"/>
    <s v="Sparkle Hair Clip"/>
    <n v="599"/>
    <n v="2"/>
    <n v="1198"/>
    <s v="Dec20"/>
    <n v="20"/>
    <s v="Wallet"/>
    <x v="0"/>
    <s v="Vadodara"/>
    <s v="Gujarat"/>
    <x v="0"/>
    <d v="2024-12-29T00:00:00"/>
    <x v="0"/>
    <x v="0"/>
    <x v="0"/>
    <x v="0"/>
    <x v="0"/>
    <x v="0"/>
    <n v="239.6"/>
    <n v="1178"/>
    <n v="0.98330550918196991"/>
    <x v="1"/>
    <x v="8"/>
    <x v="0"/>
  </r>
  <r>
    <s v="UT-100088"/>
    <d v="2024-10-22T00:00:00"/>
    <s v="CUST_10087"/>
    <x v="0"/>
    <s v="OUT-WND-L"/>
    <x v="1"/>
    <s v="Windbreaker"/>
    <n v="3299"/>
    <n v="1"/>
    <n v="3299"/>
    <s v=""/>
    <n v="0"/>
    <s v="Debit Card"/>
    <x v="1"/>
    <s v="Delhi"/>
    <s v="Delhi"/>
    <x v="2"/>
    <d v="2024-11-04T00:00:00"/>
    <x v="0"/>
    <x v="1"/>
    <x v="1"/>
    <x v="78"/>
    <x v="1"/>
    <x v="0"/>
    <n v="0"/>
    <n v="3299"/>
    <n v="1"/>
    <x v="0"/>
    <x v="7"/>
    <x v="0"/>
  </r>
  <r>
    <s v="UT-100092"/>
    <d v="2024-10-23T00:00:00"/>
    <s v="CUST_10091"/>
    <x v="0"/>
    <s v="TOP-TIE-S"/>
    <x v="0"/>
    <s v="Tie-Front Top"/>
    <n v="1399"/>
    <n v="1"/>
    <n v="1399"/>
    <s v="DIWALI20"/>
    <n v="20"/>
    <s v="Wallet"/>
    <x v="2"/>
    <s v="Pune"/>
    <s v="Maharashtra"/>
    <x v="0"/>
    <d v="2024-11-03T00:00:00"/>
    <x v="0"/>
    <x v="1"/>
    <x v="3"/>
    <x v="76"/>
    <x v="1"/>
    <x v="0"/>
    <n v="279.8"/>
    <n v="1379"/>
    <n v="0.98570407433881346"/>
    <x v="0"/>
    <x v="7"/>
    <x v="0"/>
  </r>
  <r>
    <s v="UT-100277"/>
    <d v="2024-12-13T00:00:00"/>
    <s v="CUST_10276"/>
    <x v="0"/>
    <s v="BOT-PRY-S"/>
    <x v="2"/>
    <s v="Party Leggings"/>
    <n v="1899"/>
    <n v="1"/>
    <n v="1899"/>
    <s v="Dec20"/>
    <n v="20"/>
    <s v="UPI"/>
    <x v="0"/>
    <s v="Mumbai"/>
    <s v="Maharashtra"/>
    <x v="0"/>
    <d v="2024-12-30T00:00:00"/>
    <x v="0"/>
    <x v="0"/>
    <x v="0"/>
    <x v="0"/>
    <x v="0"/>
    <x v="0"/>
    <n v="379.8"/>
    <n v="1879"/>
    <n v="0.98946814112690895"/>
    <x v="1"/>
    <x v="8"/>
    <x v="0"/>
  </r>
  <r>
    <s v="UT-100095"/>
    <d v="2024-10-23T00:00:00"/>
    <s v="CUST_10094"/>
    <x v="0"/>
    <s v="BOT-PLT-L"/>
    <x v="2"/>
    <s v="Pleated Trousers"/>
    <n v="2199"/>
    <n v="1"/>
    <n v="2199"/>
    <s v="FIRST15"/>
    <n v="15"/>
    <s v="Debit Card"/>
    <x v="2"/>
    <s v="Lucknow"/>
    <s v="Uttar Pradesh"/>
    <x v="2"/>
    <d v="2024-11-05T00:00:00"/>
    <x v="0"/>
    <x v="1"/>
    <x v="2"/>
    <x v="79"/>
    <x v="1"/>
    <x v="0"/>
    <n v="329.85"/>
    <n v="2184"/>
    <n v="0.99317871759890863"/>
    <x v="0"/>
    <x v="7"/>
    <x v="0"/>
  </r>
  <r>
    <s v="UT-100097"/>
    <d v="2024-10-24T00:00:00"/>
    <s v="CUST_10096"/>
    <x v="0"/>
    <s v="TOP-GRF-M"/>
    <x v="0"/>
    <s v="Graphic Tee"/>
    <n v="1299"/>
    <n v="1"/>
    <n v="1299"/>
    <s v=""/>
    <n v="0"/>
    <s v="COD"/>
    <x v="1"/>
    <s v="Mumbai"/>
    <s v="Maharashtra"/>
    <x v="0"/>
    <d v="2024-11-06T00:00:00"/>
    <x v="0"/>
    <x v="1"/>
    <x v="4"/>
    <x v="79"/>
    <x v="1"/>
    <x v="0"/>
    <n v="0"/>
    <n v="1299"/>
    <n v="1"/>
    <x v="0"/>
    <x v="7"/>
    <x v="1"/>
  </r>
  <r>
    <s v="UT-100280"/>
    <d v="2024-12-14T00:00:00"/>
    <s v="CUST_10279"/>
    <x v="0"/>
    <s v="TOP-YRS-L"/>
    <x v="0"/>
    <s v="Year End Top"/>
    <n v="2099"/>
    <n v="1"/>
    <n v="2099"/>
    <s v="Dec20"/>
    <n v="20"/>
    <s v="Debit Card"/>
    <x v="0"/>
    <s v="Chennai"/>
    <s v="Tamil Nadu"/>
    <x v="1"/>
    <d v="2024-12-31T00:00:00"/>
    <x v="0"/>
    <x v="0"/>
    <x v="0"/>
    <x v="0"/>
    <x v="0"/>
    <x v="0"/>
    <n v="419.8"/>
    <n v="2079"/>
    <n v="0.99047165316817531"/>
    <x v="1"/>
    <x v="8"/>
    <x v="0"/>
  </r>
  <r>
    <s v="UT-100100"/>
    <d v="2024-10-25T00:00:00"/>
    <s v="CUST_10099"/>
    <x v="0"/>
    <s v="BOT-CUT-M"/>
    <x v="2"/>
    <s v="Culottes"/>
    <n v="1699"/>
    <n v="1"/>
    <n v="1699"/>
    <s v=""/>
    <n v="0"/>
    <s v="Debit Card"/>
    <x v="1"/>
    <s v="Noida"/>
    <s v="Uttar Pradesh"/>
    <x v="2"/>
    <d v="2024-11-07T00:00:00"/>
    <x v="0"/>
    <x v="1"/>
    <x v="3"/>
    <x v="81"/>
    <x v="1"/>
    <x v="0"/>
    <n v="0"/>
    <n v="1699"/>
    <n v="1"/>
    <x v="0"/>
    <x v="7"/>
    <x v="0"/>
  </r>
  <r>
    <s v="UT-100282"/>
    <d v="2024-12-15T00:00:00"/>
    <s v="CUST_10281"/>
    <x v="0"/>
    <s v="BOT-FNS-M"/>
    <x v="2"/>
    <s v="Finish Line Pants"/>
    <n v="2299"/>
    <n v="1"/>
    <n v="2299"/>
    <s v=""/>
    <n v="0"/>
    <s v="UPI"/>
    <x v="1"/>
    <s v="Pune"/>
    <s v="Maharashtra"/>
    <x v="0"/>
    <d v="2025-01-02T00:00:00"/>
    <x v="0"/>
    <x v="0"/>
    <x v="0"/>
    <x v="0"/>
    <x v="0"/>
    <x v="0"/>
    <n v="0"/>
    <n v="2299"/>
    <n v="1"/>
    <x v="1"/>
    <x v="8"/>
    <x v="0"/>
  </r>
  <r>
    <s v="UT-100102"/>
    <d v="2024-10-25T00:00:00"/>
    <s v="CUST_10101"/>
    <x v="1"/>
    <s v="TOP-SLV-S"/>
    <x v="0"/>
    <s v="Sleeveless Top"/>
    <n v="1199"/>
    <n v="2"/>
    <n v="2398"/>
    <s v=""/>
    <n v="0"/>
    <s v="UPI"/>
    <x v="0"/>
    <s v="Indore"/>
    <s v="Madhya Pradesh"/>
    <x v="0"/>
    <d v="2024-11-05T00:00:00"/>
    <x v="0"/>
    <x v="1"/>
    <x v="5"/>
    <x v="80"/>
    <x v="1"/>
    <x v="0"/>
    <n v="0"/>
    <n v="2398"/>
    <n v="1"/>
    <x v="0"/>
    <x v="7"/>
    <x v="0"/>
  </r>
  <r>
    <s v="UT-100284"/>
    <d v="2024-12-15T00:00:00"/>
    <s v="CUST_10283"/>
    <x v="0"/>
    <s v="ACC-CNT-OS"/>
    <x v="3"/>
    <s v="Countdown Earrings"/>
    <n v="799"/>
    <n v="2"/>
    <n v="1598"/>
    <s v=""/>
    <n v="0"/>
    <s v="Wallet"/>
    <x v="2"/>
    <s v="Jaipur"/>
    <s v="Rajasthan"/>
    <x v="2"/>
    <d v="2025-01-02T00:00:00"/>
    <x v="0"/>
    <x v="0"/>
    <x v="0"/>
    <x v="0"/>
    <x v="0"/>
    <x v="0"/>
    <n v="0"/>
    <n v="1598"/>
    <n v="1"/>
    <x v="1"/>
    <x v="8"/>
    <x v="0"/>
  </r>
  <r>
    <s v="UT-100105"/>
    <d v="2024-10-26T00:00:00"/>
    <s v="CUST_10104"/>
    <x v="0"/>
    <s v="BOT-STR-L"/>
    <x v="2"/>
    <s v="Straight Pants"/>
    <n v="1999"/>
    <n v="1"/>
    <n v="1999"/>
    <s v=""/>
    <n v="0"/>
    <s v="Wallet"/>
    <x v="0"/>
    <s v="Bhopal"/>
    <s v="Madhya Pradesh"/>
    <x v="0"/>
    <d v="2024-11-07T00:00:00"/>
    <x v="0"/>
    <x v="1"/>
    <x v="1"/>
    <x v="83"/>
    <x v="1"/>
    <x v="0"/>
    <n v="0"/>
    <n v="1999"/>
    <n v="1"/>
    <x v="0"/>
    <x v="7"/>
    <x v="0"/>
  </r>
  <r>
    <s v="UT-100107"/>
    <d v="2024-10-26T00:00:00"/>
    <s v="CUST_10106"/>
    <x v="0"/>
    <s v="TOP-CWL-M"/>
    <x v="0"/>
    <s v="Cowl Neck Top"/>
    <n v="1599"/>
    <n v="1"/>
    <n v="1599"/>
    <s v="FIRST15"/>
    <n v="15"/>
    <s v="UPI"/>
    <x v="2"/>
    <s v="Coimbatore"/>
    <s v="Tamil Nadu"/>
    <x v="1"/>
    <d v="2024-11-06T00:00:00"/>
    <x v="0"/>
    <x v="1"/>
    <x v="3"/>
    <x v="79"/>
    <x v="1"/>
    <x v="0"/>
    <n v="239.85"/>
    <n v="1584"/>
    <n v="0.99061913696060033"/>
    <x v="0"/>
    <x v="7"/>
    <x v="0"/>
  </r>
  <r>
    <s v="UT-100287"/>
    <d v="2024-12-16T00:00:00"/>
    <s v="CUST_10286"/>
    <x v="0"/>
    <s v="BOT-END-L"/>
    <x v="2"/>
    <s v="Year End Pants"/>
    <n v="2599"/>
    <n v="1"/>
    <n v="2599"/>
    <s v=""/>
    <n v="0"/>
    <s v="UPI"/>
    <x v="2"/>
    <s v="Mumbai"/>
    <s v="Maharashtra"/>
    <x v="0"/>
    <d v="2025-01-04T00:00:00"/>
    <x v="0"/>
    <x v="0"/>
    <x v="0"/>
    <x v="0"/>
    <x v="0"/>
    <x v="0"/>
    <n v="0"/>
    <n v="2599"/>
    <n v="1"/>
    <x v="1"/>
    <x v="5"/>
    <x v="0"/>
  </r>
  <r>
    <s v="UT-100109"/>
    <d v="2024-10-27T00:00:00"/>
    <s v="CUST_10108"/>
    <x v="0"/>
    <s v="ACC-CFF-OS"/>
    <x v="3"/>
    <s v="Cuff Bracelet"/>
    <n v="599"/>
    <n v="2"/>
    <n v="1198"/>
    <s v=""/>
    <n v="0"/>
    <s v="COD"/>
    <x v="1"/>
    <s v="Vizag"/>
    <s v="Andhra Pradesh"/>
    <x v="1"/>
    <d v="2024-11-07T00:00:00"/>
    <x v="0"/>
    <x v="1"/>
    <x v="2"/>
    <x v="81"/>
    <x v="1"/>
    <x v="0"/>
    <n v="0"/>
    <n v="1198"/>
    <n v="1"/>
    <x v="0"/>
    <x v="7"/>
    <x v="1"/>
  </r>
  <r>
    <s v="UT-100289"/>
    <d v="2024-12-16T00:00:00"/>
    <s v="CUST_10288"/>
    <x v="1"/>
    <s v="ACC-FNL-OS"/>
    <x v="3"/>
    <s v="Finale Necklace"/>
    <n v="1399"/>
    <n v="1"/>
    <n v="1399"/>
    <s v="Dec20"/>
    <n v="20"/>
    <s v="Wallet"/>
    <x v="0"/>
    <s v="Chandigarh"/>
    <s v="Punjab"/>
    <x v="2"/>
    <d v="2025-01-04T00:00:00"/>
    <x v="0"/>
    <x v="0"/>
    <x v="0"/>
    <x v="0"/>
    <x v="0"/>
    <x v="0"/>
    <n v="279.8"/>
    <n v="1379"/>
    <n v="0.98570407433881346"/>
    <x v="1"/>
    <x v="5"/>
    <x v="0"/>
  </r>
  <r>
    <s v="UT-100056"/>
    <d v="2024-10-14T00:00:00"/>
    <s v="CUST_10055"/>
    <x v="0"/>
    <s v="DRS-TIR-S"/>
    <x v="4"/>
    <s v="Tiered Dress"/>
    <n v="2799"/>
    <n v="1"/>
    <n v="2799"/>
    <s v=""/>
    <n v="0"/>
    <s v="Debit Card"/>
    <x v="2"/>
    <s v="Vadodara"/>
    <s v="Gujarat"/>
    <x v="0"/>
    <d v="2024-10-23T00:00:00"/>
    <x v="0"/>
    <x v="1"/>
    <x v="4"/>
    <x v="88"/>
    <x v="1"/>
    <x v="0"/>
    <n v="0"/>
    <n v="2799"/>
    <n v="1"/>
    <x v="0"/>
    <x v="6"/>
    <x v="0"/>
  </r>
  <r>
    <s v="UT-100058"/>
    <d v="2024-10-14T00:00:00"/>
    <s v="CUST_10057"/>
    <x v="1"/>
    <s v="OUT-QTD-L"/>
    <x v="1"/>
    <s v="Quilted Jacket"/>
    <n v="4499"/>
    <n v="1"/>
    <n v="4499"/>
    <s v="FIRST15"/>
    <n v="15"/>
    <s v="UPI"/>
    <x v="1"/>
    <s v="Kanpur"/>
    <s v="Uttar Pradesh"/>
    <x v="2"/>
    <d v="2024-10-25T00:00:00"/>
    <x v="0"/>
    <x v="1"/>
    <x v="1"/>
    <x v="71"/>
    <x v="1"/>
    <x v="0"/>
    <n v="674.85"/>
    <n v="4484"/>
    <n v="0.99666592576128032"/>
    <x v="0"/>
    <x v="6"/>
    <x v="0"/>
  </r>
  <r>
    <s v="UT-100292"/>
    <d v="2024-12-17T00:00:00"/>
    <s v="CUST_10291"/>
    <x v="0"/>
    <s v="BOT-GLD-S"/>
    <x v="2"/>
    <s v="Gold Rush Pants"/>
    <n v="2799"/>
    <n v="1"/>
    <n v="2799"/>
    <s v="Dec20"/>
    <n v="20"/>
    <s v="UPI"/>
    <x v="0"/>
    <s v="Indore"/>
    <s v="Madhya Pradesh"/>
    <x v="0"/>
    <d v="2025-01-06T00:00:00"/>
    <x v="0"/>
    <x v="0"/>
    <x v="0"/>
    <x v="0"/>
    <x v="0"/>
    <x v="0"/>
    <n v="559.79999999999995"/>
    <n v="2779"/>
    <n v="0.99285459092533046"/>
    <x v="1"/>
    <x v="5"/>
    <x v="0"/>
  </r>
  <r>
    <s v="UT-100061"/>
    <d v="2024-10-15T00:00:00"/>
    <s v="CUST_10060"/>
    <x v="0"/>
    <s v="DRS-SLP-M"/>
    <x v="4"/>
    <s v="Slip Dress"/>
    <n v="2199"/>
    <n v="1"/>
    <n v="2199"/>
    <s v="DIWALI20"/>
    <n v="20"/>
    <s v="Debit Card"/>
    <x v="1"/>
    <s v="Kolkata"/>
    <s v="West Bengal"/>
    <x v="2"/>
    <d v="2024-10-26T00:00:00"/>
    <x v="0"/>
    <x v="1"/>
    <x v="3"/>
    <x v="72"/>
    <x v="1"/>
    <x v="0"/>
    <n v="439.8"/>
    <n v="2179"/>
    <n v="0.99090495679854484"/>
    <x v="0"/>
    <x v="6"/>
    <x v="0"/>
  </r>
  <r>
    <s v="UT-100294"/>
    <d v="2024-12-18T00:00:00"/>
    <s v="CUST_10293"/>
    <x v="1"/>
    <s v="ACC-GLW-OS"/>
    <x v="3"/>
    <s v="Glow Bracelet"/>
    <n v="699"/>
    <n v="2"/>
    <n v="1398"/>
    <s v=""/>
    <n v="0"/>
    <s v="Wallet"/>
    <x v="1"/>
    <s v="Patna"/>
    <s v="Bihar"/>
    <x v="2"/>
    <d v="2025-01-06T00:00:00"/>
    <x v="0"/>
    <x v="0"/>
    <x v="0"/>
    <x v="0"/>
    <x v="0"/>
    <x v="0"/>
    <n v="0"/>
    <n v="1398"/>
    <n v="1"/>
    <x v="1"/>
    <x v="5"/>
    <x v="0"/>
  </r>
  <r>
    <s v="UT-100063"/>
    <d v="2024-10-15T00:00:00"/>
    <s v="CUST_10062"/>
    <x v="0"/>
    <s v="OUT-FLC-M"/>
    <x v="1"/>
    <s v="Fleece Jacket"/>
    <n v="2999"/>
    <n v="1"/>
    <n v="2999"/>
    <s v=""/>
    <n v="0"/>
    <s v="Credit Card"/>
    <x v="0"/>
    <s v="Hyderabad"/>
    <s v="Telangana"/>
    <x v="1"/>
    <d v="2024-10-27T00:00:00"/>
    <x v="0"/>
    <x v="1"/>
    <x v="5"/>
    <x v="89"/>
    <x v="1"/>
    <x v="0"/>
    <n v="0"/>
    <n v="2999"/>
    <n v="1"/>
    <x v="0"/>
    <x v="6"/>
    <x v="0"/>
  </r>
  <r>
    <s v="UT-100296"/>
    <d v="2024-12-18T00:00:00"/>
    <s v="CUST_10295"/>
    <x v="0"/>
    <s v="DRS-RDY-S"/>
    <x v="4"/>
    <s v="Ready to Party Dress"/>
    <n v="3599"/>
    <n v="1"/>
    <n v="3599"/>
    <s v=""/>
    <n v="0"/>
    <s v="Credit Card"/>
    <x v="2"/>
    <s v="Nagpur"/>
    <s v="Maharashtra"/>
    <x v="0"/>
    <d v="2025-01-08T00:00:00"/>
    <x v="0"/>
    <x v="0"/>
    <x v="0"/>
    <x v="0"/>
    <x v="0"/>
    <x v="0"/>
    <n v="0"/>
    <n v="3599"/>
    <n v="1"/>
    <x v="1"/>
    <x v="5"/>
    <x v="0"/>
  </r>
  <r>
    <s v="UT-100065"/>
    <d v="2024-10-16T00:00:00"/>
    <s v="CUST_10064"/>
    <x v="0"/>
    <s v="BOT-SKN-M"/>
    <x v="2"/>
    <s v="Skinny Jeans"/>
    <n v="2199"/>
    <n v="1"/>
    <n v="2199"/>
    <s v=""/>
    <n v="0"/>
    <s v="COD"/>
    <x v="2"/>
    <s v="Ahmedabad"/>
    <s v="Gujarat"/>
    <x v="0"/>
    <d v="2024-10-28T00:00:00"/>
    <x v="0"/>
    <x v="1"/>
    <x v="3"/>
    <x v="73"/>
    <x v="1"/>
    <x v="0"/>
    <n v="0"/>
    <n v="2199"/>
    <n v="1"/>
    <x v="0"/>
    <x v="6"/>
    <x v="1"/>
  </r>
  <r>
    <s v="UT-100067"/>
    <d v="2024-10-16T00:00:00"/>
    <s v="CUST_10066"/>
    <x v="0"/>
    <s v="TOP-EMB-M"/>
    <x v="0"/>
    <s v="Embroidered Top"/>
    <n v="1899"/>
    <n v="1"/>
    <n v="1899"/>
    <s v="DIWALI20"/>
    <n v="20"/>
    <s v="UPI"/>
    <x v="1"/>
    <s v="Lucknow"/>
    <s v="Uttar Pradesh"/>
    <x v="2"/>
    <d v="2024-10-27T00:00:00"/>
    <x v="0"/>
    <x v="1"/>
    <x v="4"/>
    <x v="71"/>
    <x v="1"/>
    <x v="0"/>
    <n v="379.8"/>
    <n v="1879"/>
    <n v="0.98946814112690895"/>
    <x v="0"/>
    <x v="6"/>
    <x v="0"/>
  </r>
  <r>
    <s v="UT-100299"/>
    <d v="2024-12-19T00:00:00"/>
    <s v="CUST_10298"/>
    <x v="1"/>
    <s v="ACC-MRY-OS"/>
    <x v="3"/>
    <s v="Merry Earrings"/>
    <n v="599"/>
    <n v="3"/>
    <n v="1797"/>
    <s v=""/>
    <n v="0"/>
    <s v="Wallet"/>
    <x v="2"/>
    <s v="Vizag"/>
    <s v="Andhra Pradesh"/>
    <x v="1"/>
    <d v="2025-01-08T00:00:00"/>
    <x v="0"/>
    <x v="0"/>
    <x v="0"/>
    <x v="0"/>
    <x v="0"/>
    <x v="0"/>
    <n v="0"/>
    <n v="1797"/>
    <n v="1"/>
    <x v="1"/>
    <x v="5"/>
    <x v="0"/>
  </r>
  <r>
    <s v="UT-100069"/>
    <d v="2024-10-17T00:00:00"/>
    <s v="CUST_10068"/>
    <x v="0"/>
    <s v="ACC-CLT-OS"/>
    <x v="3"/>
    <s v="Clutch Bag"/>
    <n v="1599"/>
    <n v="1"/>
    <n v="1599"/>
    <s v=""/>
    <n v="0"/>
    <s v="Credit Card"/>
    <x v="0"/>
    <s v="Mumbai"/>
    <s v="Maharashtra"/>
    <x v="0"/>
    <d v="2024-10-27T00:00:00"/>
    <x v="0"/>
    <x v="1"/>
    <x v="2"/>
    <x v="72"/>
    <x v="1"/>
    <x v="0"/>
    <n v="0"/>
    <n v="1599"/>
    <n v="1"/>
    <x v="0"/>
    <x v="6"/>
    <x v="0"/>
  </r>
  <r>
    <s v="UT-100073"/>
    <d v="2024-10-18T00:00:00"/>
    <s v="CUST_10072"/>
    <x v="0"/>
    <s v="OUT-CDG-M"/>
    <x v="1"/>
    <s v="Cardigan"/>
    <n v="2599"/>
    <n v="1"/>
    <n v="2599"/>
    <s v="DIWALI20"/>
    <n v="20"/>
    <s v="Credit Card"/>
    <x v="1"/>
    <s v="Gurgaon"/>
    <s v="Haryana"/>
    <x v="2"/>
    <d v="2024-10-30T00:00:00"/>
    <x v="0"/>
    <x v="1"/>
    <x v="3"/>
    <x v="90"/>
    <x v="1"/>
    <x v="0"/>
    <n v="519.79999999999995"/>
    <n v="2579"/>
    <n v="0.99230473258945751"/>
    <x v="0"/>
    <x v="6"/>
    <x v="0"/>
  </r>
  <r>
    <s v="UT-100302"/>
    <d v="2024-12-20T00:00:00"/>
    <s v="CUST_10301"/>
    <x v="0"/>
    <s v="BOT-FST-S"/>
    <x v="2"/>
    <s v="Festive Pants"/>
    <n v="2199"/>
    <n v="1"/>
    <n v="2199"/>
    <s v=""/>
    <n v="0"/>
    <s v="UPI"/>
    <x v="2"/>
    <s v="Vadodara"/>
    <s v="Gujarat"/>
    <x v="0"/>
    <d v="2025-01-10T00:00:00"/>
    <x v="0"/>
    <x v="0"/>
    <x v="0"/>
    <x v="0"/>
    <x v="0"/>
    <x v="0"/>
    <n v="0"/>
    <n v="2199"/>
    <n v="1"/>
    <x v="1"/>
    <x v="5"/>
    <x v="0"/>
  </r>
  <r>
    <s v="UT-100075"/>
    <d v="2024-10-18T00:00:00"/>
    <s v="CUST_10074"/>
    <x v="0"/>
    <s v="BOT-PPR-M"/>
    <x v="2"/>
    <s v="Paper Bag Pants"/>
    <n v="1899"/>
    <n v="1"/>
    <n v="1899"/>
    <s v=""/>
    <n v="0"/>
    <s v="Debit Card"/>
    <x v="0"/>
    <s v="Surat"/>
    <s v="Gujarat"/>
    <x v="0"/>
    <d v="2024-10-30T00:00:00"/>
    <x v="0"/>
    <x v="1"/>
    <x v="1"/>
    <x v="74"/>
    <x v="1"/>
    <x v="0"/>
    <n v="0"/>
    <n v="1899"/>
    <n v="1"/>
    <x v="0"/>
    <x v="6"/>
    <x v="0"/>
  </r>
  <r>
    <s v="UT-100304"/>
    <d v="2024-12-20T00:00:00"/>
    <s v="CUST_10303"/>
    <x v="1"/>
    <s v="ACC-CHR-OS"/>
    <x v="3"/>
    <s v="Christmas Brooch"/>
    <n v="499"/>
    <n v="2"/>
    <n v="998"/>
    <s v="Dec20"/>
    <n v="20"/>
    <s v="Wallet"/>
    <x v="0"/>
    <s v="Kanpur"/>
    <s v="Uttar Pradesh"/>
    <x v="2"/>
    <d v="2025-01-10T00:00:00"/>
    <x v="0"/>
    <x v="0"/>
    <x v="0"/>
    <x v="0"/>
    <x v="0"/>
    <x v="0"/>
    <n v="199.6"/>
    <n v="978"/>
    <n v="0.97995991983967934"/>
    <x v="1"/>
    <x v="5"/>
    <x v="0"/>
  </r>
  <r>
    <s v="UT-100077"/>
    <d v="2024-10-19T00:00:00"/>
    <s v="CUST_10076"/>
    <x v="0"/>
    <s v="TOP-BTN-M"/>
    <x v="0"/>
    <s v="Button-Down Shirt"/>
    <n v="1799"/>
    <n v="1"/>
    <n v="1799"/>
    <s v="FLAT10"/>
    <n v="10"/>
    <s v="COD"/>
    <x v="2"/>
    <s v="Bhopal"/>
    <s v="Madhya Pradesh"/>
    <x v="0"/>
    <d v="2024-10-29T00:00:00"/>
    <x v="0"/>
    <x v="1"/>
    <x v="5"/>
    <x v="73"/>
    <x v="1"/>
    <x v="0"/>
    <n v="179.9"/>
    <n v="1789"/>
    <n v="0.99444135630906061"/>
    <x v="0"/>
    <x v="6"/>
    <x v="1"/>
  </r>
  <r>
    <s v="UT-100079"/>
    <d v="2024-10-19T00:00:00"/>
    <s v="CUST_10078"/>
    <x v="0"/>
    <s v="ACC-TOT-OS"/>
    <x v="3"/>
    <s v="Canvas Tote"/>
    <n v="999"/>
    <n v="1"/>
    <n v="999"/>
    <s v=""/>
    <n v="0"/>
    <s v="Wallet"/>
    <x v="1"/>
    <s v="Coimbatore"/>
    <s v="Tamil Nadu"/>
    <x v="1"/>
    <d v="2024-10-30T00:00:00"/>
    <x v="0"/>
    <x v="1"/>
    <x v="3"/>
    <x v="74"/>
    <x v="1"/>
    <x v="0"/>
    <n v="0"/>
    <n v="999"/>
    <n v="1"/>
    <x v="0"/>
    <x v="6"/>
    <x v="0"/>
  </r>
  <r>
    <s v="UT-100307"/>
    <d v="2024-12-21T00:00:00"/>
    <s v="CUST_10306"/>
    <x v="0"/>
    <s v="BOT-FRZ-M"/>
    <x v="2"/>
    <s v="Frozen Pants"/>
    <n v="2399"/>
    <n v="1"/>
    <n v="2399"/>
    <s v="Dec20"/>
    <n v="20"/>
    <s v="UPI"/>
    <x v="0"/>
    <s v="Kolkata"/>
    <s v="West Bengal"/>
    <x v="2"/>
    <d v="2025-01-12T00:00:00"/>
    <x v="0"/>
    <x v="0"/>
    <x v="0"/>
    <x v="0"/>
    <x v="0"/>
    <x v="0"/>
    <n v="479.8"/>
    <n v="2379"/>
    <n v="0.99166319299708217"/>
    <x v="1"/>
    <x v="5"/>
    <x v="0"/>
  </r>
  <r>
    <s v="UT-100081"/>
    <d v="2024-10-20T00:00:00"/>
    <s v="CUST_10080"/>
    <x v="0"/>
    <s v="DRS-BTR-M"/>
    <x v="4"/>
    <s v="Butterfly Dress"/>
    <n v="2899"/>
    <n v="1"/>
    <n v="2899"/>
    <s v=""/>
    <n v="0"/>
    <s v="Debit Card"/>
    <x v="0"/>
    <s v="Vizag"/>
    <s v="Andhra Pradesh"/>
    <x v="1"/>
    <d v="2024-11-02T00:00:00"/>
    <x v="0"/>
    <x v="1"/>
    <x v="4"/>
    <x v="77"/>
    <x v="1"/>
    <x v="0"/>
    <n v="0"/>
    <n v="2899"/>
    <n v="1"/>
    <x v="0"/>
    <x v="6"/>
    <x v="0"/>
  </r>
  <r>
    <s v="UT-100083"/>
    <d v="2024-10-20T00:00:00"/>
    <s v="CUST_10082"/>
    <x v="0"/>
    <s v="OUT-TRN-M"/>
    <x v="1"/>
    <s v="Trench Coat"/>
    <n v="5499"/>
    <n v="1"/>
    <n v="5499"/>
    <s v="FIRST15"/>
    <n v="15"/>
    <s v="Credit Card"/>
    <x v="2"/>
    <s v="Mysore"/>
    <s v="Karnataka"/>
    <x v="1"/>
    <d v="2024-11-03T00:00:00"/>
    <x v="0"/>
    <x v="1"/>
    <x v="3"/>
    <x v="75"/>
    <x v="1"/>
    <x v="0"/>
    <n v="824.85"/>
    <n v="5484"/>
    <n v="0.99727223131478449"/>
    <x v="0"/>
    <x v="6"/>
    <x v="0"/>
  </r>
  <r>
    <s v="UT-100310"/>
    <d v="2024-12-22T00:00:00"/>
    <s v="CUST_10309"/>
    <x v="0"/>
    <s v="TOP-XMS-M"/>
    <x v="0"/>
    <s v="Christmas Spirit Top"/>
    <n v="1999"/>
    <n v="1"/>
    <n v="1999"/>
    <s v="Dec20"/>
    <n v="20"/>
    <s v="Debit Card"/>
    <x v="0"/>
    <s v="Pune"/>
    <s v="Maharashtra"/>
    <x v="0"/>
    <d v="2025-01-13T00:00:00"/>
    <x v="0"/>
    <x v="0"/>
    <x v="0"/>
    <x v="0"/>
    <x v="0"/>
    <x v="0"/>
    <n v="399.8"/>
    <n v="1979"/>
    <n v="0.98999499749874942"/>
    <x v="1"/>
    <x v="5"/>
    <x v="0"/>
  </r>
  <r>
    <s v="UT-100031"/>
    <d v="2024-10-07T00:00:00"/>
    <s v="CUST_10030"/>
    <x v="1"/>
    <s v="DRS-EVE-S"/>
    <x v="4"/>
    <s v="Evening Gown"/>
    <n v="5499"/>
    <n v="1"/>
    <n v="5499"/>
    <s v=""/>
    <n v="0"/>
    <s v="Credit Card"/>
    <x v="2"/>
    <s v="Mumbai"/>
    <s v="Maharashtra"/>
    <x v="0"/>
    <d v="2024-10-21T00:00:00"/>
    <x v="0"/>
    <x v="1"/>
    <x v="3"/>
    <x v="91"/>
    <x v="1"/>
    <x v="0"/>
    <n v="0"/>
    <n v="5499"/>
    <n v="1"/>
    <x v="0"/>
    <x v="4"/>
    <x v="0"/>
  </r>
  <r>
    <s v="UT-100312"/>
    <d v="2024-12-22T00:00:00"/>
    <s v="CUST_10311"/>
    <x v="0"/>
    <s v="BOT-HLD-S"/>
    <x v="2"/>
    <s v="Holiday Special Pants"/>
    <n v="2299"/>
    <n v="1"/>
    <n v="2299"/>
    <s v=""/>
    <n v="0"/>
    <s v="UPI"/>
    <x v="1"/>
    <s v="Jaipur"/>
    <s v="Rajasthan"/>
    <x v="2"/>
    <d v="2025-01-14T00:00:00"/>
    <x v="0"/>
    <x v="0"/>
    <x v="0"/>
    <x v="0"/>
    <x v="0"/>
    <x v="0"/>
    <n v="0"/>
    <n v="2299"/>
    <n v="1"/>
    <x v="1"/>
    <x v="5"/>
    <x v="0"/>
  </r>
  <r>
    <s v="UT-100033"/>
    <d v="2024-10-08T00:00:00"/>
    <s v="CUST_10032"/>
    <x v="0"/>
    <s v="OUT-WOL-L"/>
    <x v="1"/>
    <s v="Wool Coat"/>
    <n v="6999"/>
    <n v="1"/>
    <n v="6999"/>
    <s v="FIRST15"/>
    <n v="15"/>
    <s v="Debit Card"/>
    <x v="1"/>
    <s v="Kolkata"/>
    <s v="West Bengal"/>
    <x v="2"/>
    <d v="2024-10-16T00:00:00"/>
    <x v="0"/>
    <x v="1"/>
    <x v="5"/>
    <x v="92"/>
    <x v="1"/>
    <x v="0"/>
    <n v="1049.8499999999999"/>
    <n v="6984"/>
    <n v="0.99785683669095582"/>
    <x v="0"/>
    <x v="4"/>
    <x v="0"/>
  </r>
  <r>
    <s v="UT-100314"/>
    <d v="2024-12-23T00:00:00"/>
    <s v="CUST_10313"/>
    <x v="1"/>
    <s v="ACC-WRM-OS"/>
    <x v="3"/>
    <s v="Warm Wishes Scarf"/>
    <n v="1199"/>
    <n v="1"/>
    <n v="1199"/>
    <s v=""/>
    <n v="0"/>
    <s v="Wallet"/>
    <x v="2"/>
    <s v="Bangalore"/>
    <s v="Karnataka"/>
    <x v="1"/>
    <d v="2025-01-14T00:00:00"/>
    <x v="0"/>
    <x v="0"/>
    <x v="0"/>
    <x v="0"/>
    <x v="0"/>
    <x v="0"/>
    <n v="0"/>
    <n v="1199"/>
    <n v="1"/>
    <x v="1"/>
    <x v="3"/>
    <x v="0"/>
  </r>
  <r>
    <s v="UT-100035"/>
    <d v="2024-10-08T00:00:00"/>
    <s v="CUST_10034"/>
    <x v="0"/>
    <s v="BOT-DNM-S"/>
    <x v="2"/>
    <s v="Denim Shorts"/>
    <n v="1599"/>
    <n v="1"/>
    <n v="1599"/>
    <s v=""/>
    <n v="0"/>
    <s v="COD"/>
    <x v="0"/>
    <s v="Hyderabad"/>
    <s v="Telangana"/>
    <x v="1"/>
    <d v="2024-10-17T00:00:00"/>
    <x v="0"/>
    <x v="1"/>
    <x v="3"/>
    <x v="93"/>
    <x v="1"/>
    <x v="0"/>
    <n v="0"/>
    <n v="1599"/>
    <n v="1"/>
    <x v="0"/>
    <x v="4"/>
    <x v="1"/>
  </r>
  <r>
    <s v="UT-100037"/>
    <d v="2024-10-09T00:00:00"/>
    <s v="CUST_10036"/>
    <x v="0"/>
    <s v="TOP-RFL-S"/>
    <x v="0"/>
    <s v="Ruffle Top"/>
    <n v="1799"/>
    <n v="1"/>
    <n v="1799"/>
    <s v=""/>
    <n v="0"/>
    <s v="UPI"/>
    <x v="1"/>
    <s v="Ahmedabad"/>
    <s v="Gujarat"/>
    <x v="0"/>
    <d v="2024-10-17T00:00:00"/>
    <x v="0"/>
    <x v="1"/>
    <x v="4"/>
    <x v="94"/>
    <x v="1"/>
    <x v="0"/>
    <n v="0"/>
    <n v="1799"/>
    <n v="1"/>
    <x v="0"/>
    <x v="4"/>
    <x v="0"/>
  </r>
  <r>
    <s v="UT-100317"/>
    <d v="2024-12-23T00:00:00"/>
    <s v="CUST_10316"/>
    <x v="0"/>
    <s v="BOT-CHR-M"/>
    <x v="2"/>
    <s v="Cheer Pants"/>
    <n v="2499"/>
    <n v="1"/>
    <n v="2499"/>
    <s v=""/>
    <n v="0"/>
    <s v="UPI"/>
    <x v="2"/>
    <s v="Chandigarh"/>
    <s v="Punjab"/>
    <x v="2"/>
    <d v="2025-01-16T00:00:00"/>
    <x v="0"/>
    <x v="0"/>
    <x v="0"/>
    <x v="0"/>
    <x v="0"/>
    <x v="0"/>
    <n v="0"/>
    <n v="2499"/>
    <n v="1"/>
    <x v="1"/>
    <x v="3"/>
    <x v="0"/>
  </r>
  <r>
    <s v="UT-100040"/>
    <d v="2024-10-10T00:00:00"/>
    <s v="CUST_10039"/>
    <x v="0"/>
    <s v="BOT-PLZ-L"/>
    <x v="2"/>
    <s v="Palazzo Pants"/>
    <n v="1699"/>
    <n v="1"/>
    <n v="1699"/>
    <s v=""/>
    <n v="0"/>
    <s v="COD"/>
    <x v="0"/>
    <s v="Bangalore"/>
    <s v="Karnataka"/>
    <x v="1"/>
    <d v="2024-10-19T00:00:00"/>
    <x v="0"/>
    <x v="1"/>
    <x v="3"/>
    <x v="91"/>
    <x v="1"/>
    <x v="0"/>
    <n v="0"/>
    <n v="1699"/>
    <n v="1"/>
    <x v="0"/>
    <x v="4"/>
    <x v="1"/>
  </r>
  <r>
    <s v="UT-100319"/>
    <d v="2024-12-24T00:00:00"/>
    <s v="CUST_10318"/>
    <x v="1"/>
    <s v="ACC-BEL-OS"/>
    <x v="3"/>
    <s v="Bell Earrings"/>
    <n v="499"/>
    <n v="3"/>
    <n v="1497"/>
    <s v="Dec20"/>
    <n v="20"/>
    <s v="Wallet"/>
    <x v="0"/>
    <s v="Gurgaon"/>
    <s v="Haryana"/>
    <x v="2"/>
    <d v="2025-01-16T00:00:00"/>
    <x v="0"/>
    <x v="0"/>
    <x v="0"/>
    <x v="0"/>
    <x v="0"/>
    <x v="0"/>
    <n v="299.39999999999998"/>
    <n v="1477"/>
    <n v="0.98663994655978626"/>
    <x v="1"/>
    <x v="3"/>
    <x v="0"/>
  </r>
  <r>
    <s v="UT-100042"/>
    <d v="2024-10-10T00:00:00"/>
    <s v="CUST_10041"/>
    <x v="1"/>
    <s v="TOP-OFF-M"/>
    <x v="0"/>
    <s v="Off-Shoulder Top"/>
    <n v="1599"/>
    <n v="2"/>
    <n v="3198"/>
    <s v="DIWALI20"/>
    <n v="20"/>
    <s v="Credit Card"/>
    <x v="2"/>
    <s v="Delhi"/>
    <s v="Delhi"/>
    <x v="2"/>
    <d v="2024-10-17T00:00:00"/>
    <x v="0"/>
    <x v="1"/>
    <x v="1"/>
    <x v="93"/>
    <x v="1"/>
    <x v="0"/>
    <n v="639.6"/>
    <n v="3178"/>
    <n v="0.99374609130706693"/>
    <x v="0"/>
    <x v="4"/>
    <x v="0"/>
  </r>
  <r>
    <s v="UT-100044"/>
    <d v="2024-10-11T00:00:00"/>
    <s v="CUST_10043"/>
    <x v="0"/>
    <s v="ACC-HBG-OS"/>
    <x v="3"/>
    <s v="Hobo Bag"/>
    <n v="1899"/>
    <n v="1"/>
    <n v="1899"/>
    <s v=""/>
    <n v="0"/>
    <s v="Debit Card"/>
    <x v="1"/>
    <s v="Noida"/>
    <s v="Uttar Pradesh"/>
    <x v="2"/>
    <d v="2024-10-21T00:00:00"/>
    <x v="0"/>
    <x v="1"/>
    <x v="2"/>
    <x v="94"/>
    <x v="1"/>
    <x v="0"/>
    <n v="0"/>
    <n v="1899"/>
    <n v="1"/>
    <x v="0"/>
    <x v="4"/>
    <x v="0"/>
  </r>
  <r>
    <s v="UT-100322"/>
    <d v="2024-12-25T00:00:00"/>
    <s v="CUST_10321"/>
    <x v="0"/>
    <s v="BOT-MRY-S"/>
    <x v="2"/>
    <s v="Merry Leggings"/>
    <n v="1899"/>
    <n v="1"/>
    <n v="1899"/>
    <s v="Dec20"/>
    <n v="20"/>
    <s v="UPI"/>
    <x v="0"/>
    <s v="Patna"/>
    <s v="Bihar"/>
    <x v="2"/>
    <d v="2025-01-18T00:00:00"/>
    <x v="0"/>
    <x v="0"/>
    <x v="0"/>
    <x v="0"/>
    <x v="0"/>
    <x v="0"/>
    <n v="379.8"/>
    <n v="1879"/>
    <n v="0.98946814112690895"/>
    <x v="1"/>
    <x v="3"/>
    <x v="0"/>
  </r>
  <r>
    <s v="UT-100048"/>
    <d v="2024-10-12T00:00:00"/>
    <s v="CUST_10047"/>
    <x v="0"/>
    <s v="OUT-PRK-XL"/>
    <x v="1"/>
    <s v="Parka Jacket"/>
    <n v="5999"/>
    <n v="1"/>
    <n v="5999"/>
    <s v="DIWALI20"/>
    <n v="20"/>
    <s v="Credit Card"/>
    <x v="2"/>
    <s v="Patna"/>
    <s v="Bihar"/>
    <x v="2"/>
    <d v="2024-10-22T00:00:00"/>
    <x v="0"/>
    <x v="1"/>
    <x v="3"/>
    <x v="95"/>
    <x v="1"/>
    <x v="0"/>
    <n v="1199.8"/>
    <n v="5979"/>
    <n v="0.99666611101850311"/>
    <x v="0"/>
    <x v="4"/>
    <x v="0"/>
  </r>
  <r>
    <s v="UT-100324"/>
    <d v="2024-12-25T00:00:00"/>
    <s v="CUST_10323"/>
    <x v="1"/>
    <s v="ACC-GFT-OS"/>
    <x v="3"/>
    <s v="Gift Box Clutch"/>
    <n v="1399"/>
    <n v="1"/>
    <n v="1399"/>
    <s v=""/>
    <n v="0"/>
    <s v="Wallet"/>
    <x v="1"/>
    <s v="Nagpur"/>
    <s v="Maharashtra"/>
    <x v="0"/>
    <d v="2025-01-18T00:00:00"/>
    <x v="0"/>
    <x v="0"/>
    <x v="0"/>
    <x v="0"/>
    <x v="0"/>
    <x v="0"/>
    <n v="0"/>
    <n v="1399"/>
    <n v="1"/>
    <x v="1"/>
    <x v="3"/>
    <x v="0"/>
  </r>
  <r>
    <s v="UT-100051"/>
    <d v="2024-10-12T00:00:00"/>
    <s v="CUST_10050"/>
    <x v="0"/>
    <s v="DRS-CTN-L"/>
    <x v="4"/>
    <s v="Cotton Dress"/>
    <n v="1899"/>
    <n v="1"/>
    <n v="1899"/>
    <s v=""/>
    <n v="0"/>
    <s v="Debit Card"/>
    <x v="1"/>
    <s v="Coimbatore"/>
    <s v="Tamil Nadu"/>
    <x v="1"/>
    <d v="2024-10-22T00:00:00"/>
    <x v="0"/>
    <x v="1"/>
    <x v="5"/>
    <x v="96"/>
    <x v="1"/>
    <x v="0"/>
    <n v="0"/>
    <n v="1899"/>
    <n v="1"/>
    <x v="0"/>
    <x v="4"/>
    <x v="0"/>
  </r>
  <r>
    <s v="UT-100053"/>
    <d v="2024-10-13T00:00:00"/>
    <s v="CUST_10052"/>
    <x v="0"/>
    <s v="OUT-BOM-M"/>
    <x v="1"/>
    <s v="Bomber Jacket"/>
    <n v="3799"/>
    <n v="1"/>
    <n v="3799"/>
    <s v=""/>
    <n v="0"/>
    <s v="UPI"/>
    <x v="2"/>
    <s v="Vizag"/>
    <s v="Andhra Pradesh"/>
    <x v="1"/>
    <d v="2024-10-23T00:00:00"/>
    <x v="0"/>
    <x v="1"/>
    <x v="3"/>
    <x v="70"/>
    <x v="1"/>
    <x v="0"/>
    <n v="0"/>
    <n v="3799"/>
    <n v="1"/>
    <x v="0"/>
    <x v="4"/>
    <x v="0"/>
  </r>
  <r>
    <s v="UT-100327"/>
    <d v="2024-12-26T00:00:00"/>
    <s v="CUST_10326"/>
    <x v="0"/>
    <s v="BOT-SLE-M"/>
    <x v="2"/>
    <s v="Sale Season Pants"/>
    <n v="2199"/>
    <n v="1"/>
    <n v="2199"/>
    <s v=""/>
    <n v="0"/>
    <s v="UPI"/>
    <x v="1"/>
    <s v="Vizag"/>
    <s v="Andhra Pradesh"/>
    <x v="1"/>
    <d v="2025-01-20T00:00:00"/>
    <x v="0"/>
    <x v="0"/>
    <x v="0"/>
    <x v="0"/>
    <x v="0"/>
    <x v="0"/>
    <n v="0"/>
    <n v="2199"/>
    <n v="1"/>
    <x v="1"/>
    <x v="3"/>
    <x v="0"/>
  </r>
  <r>
    <s v="UT-100164"/>
    <d v="2024-10-10T00:00:00"/>
    <s v="CUST_10163"/>
    <x v="0"/>
    <s v="OUT-STR-L"/>
    <x v="1"/>
    <s v="Striped Blazer"/>
    <n v="4199"/>
    <n v="1"/>
    <n v="4199"/>
    <s v=""/>
    <n v="0"/>
    <s v="UPI"/>
    <x v="2"/>
    <s v="Coimbatore"/>
    <s v="Tamil Nadu"/>
    <x v="1"/>
    <d v="2024-11-25T00:00:00"/>
    <x v="0"/>
    <x v="1"/>
    <x v="5"/>
    <x v="59"/>
    <x v="1"/>
    <x v="0"/>
    <n v="0"/>
    <n v="4199"/>
    <n v="1"/>
    <x v="0"/>
    <x v="4"/>
    <x v="0"/>
  </r>
  <r>
    <s v="UT-100002"/>
    <d v="2024-10-01T00:00:00"/>
    <s v="CUST_10002"/>
    <x v="1"/>
    <s v="DRS-FRM-S"/>
    <x v="4"/>
    <s v="Floral Midi Dress"/>
    <n v="2499"/>
    <n v="1"/>
    <n v="2499"/>
    <s v="DIWALI20"/>
    <n v="20"/>
    <s v="Credit Card"/>
    <x v="2"/>
    <s v="Delhi"/>
    <s v="Delhi"/>
    <x v="2"/>
    <d v="2024-10-04T00:00:00"/>
    <x v="0"/>
    <x v="1"/>
    <x v="3"/>
    <x v="97"/>
    <x v="1"/>
    <x v="0"/>
    <n v="499.8"/>
    <n v="2479"/>
    <n v="0.99199679871948776"/>
    <x v="0"/>
    <x v="0"/>
    <x v="0"/>
  </r>
  <r>
    <s v="UT-100330"/>
    <d v="2024-12-27T00:00:00"/>
    <s v="CUST_10329"/>
    <x v="0"/>
    <s v="TOP-CLR-M"/>
    <x v="0"/>
    <s v="Clearance Top"/>
    <n v="999"/>
    <n v="2"/>
    <n v="1998"/>
    <s v=""/>
    <n v="0"/>
    <s v="Debit Card"/>
    <x v="1"/>
    <s v="Vadodara"/>
    <s v="Gujarat"/>
    <x v="0"/>
    <d v="2025-01-21T00:00:00"/>
    <x v="0"/>
    <x v="0"/>
    <x v="0"/>
    <x v="0"/>
    <x v="0"/>
    <x v="0"/>
    <n v="0"/>
    <n v="1998"/>
    <n v="1"/>
    <x v="1"/>
    <x v="3"/>
    <x v="0"/>
  </r>
  <r>
    <s v="UT-100004"/>
    <d v="2024-10-01T00:00:00"/>
    <s v="CUST_10004"/>
    <x v="0"/>
    <s v="OUT-JKT-XL"/>
    <x v="1"/>
    <s v="Denim Jacket"/>
    <n v="3499"/>
    <n v="1"/>
    <n v="3499"/>
    <s v="FIRST15"/>
    <n v="15"/>
    <s v="Debit Card"/>
    <x v="1"/>
    <s v="Chennai"/>
    <s v="Tamil Nadu"/>
    <x v="0"/>
    <d v="2024-10-08T00:00:00"/>
    <x v="0"/>
    <x v="1"/>
    <x v="5"/>
    <x v="98"/>
    <x v="1"/>
    <x v="0"/>
    <n v="524.85"/>
    <n v="3484"/>
    <n v="0.99571306087453559"/>
    <x v="0"/>
    <x v="0"/>
    <x v="0"/>
  </r>
  <r>
    <s v="UT-100332"/>
    <d v="2024-12-27T00:00:00"/>
    <s v="CUST_10331"/>
    <x v="0"/>
    <s v="BOT-FNL-S"/>
    <x v="2"/>
    <s v="Final Sale Pants"/>
    <n v="1799"/>
    <n v="1"/>
    <n v="1799"/>
    <s v=""/>
    <n v="0"/>
    <s v="UPI"/>
    <x v="2"/>
    <s v="Kanpur"/>
    <s v="Uttar Pradesh"/>
    <x v="2"/>
    <d v="2025-01-22T00:00:00"/>
    <x v="0"/>
    <x v="0"/>
    <x v="0"/>
    <x v="0"/>
    <x v="0"/>
    <x v="0"/>
    <n v="0"/>
    <n v="1799"/>
    <n v="1"/>
    <x v="1"/>
    <x v="3"/>
    <x v="0"/>
  </r>
  <r>
    <s v="UT-100006"/>
    <d v="2024-10-02T00:00:00"/>
    <s v="CUST_10005"/>
    <x v="1"/>
    <s v="TOP-FRM-S"/>
    <x v="0"/>
    <s v="Printed Blouse"/>
    <n v="1599"/>
    <n v="2"/>
    <n v="3198"/>
    <s v=""/>
    <n v="0"/>
    <s v="Credit Card"/>
    <x v="2"/>
    <s v="Hyderabad"/>
    <s v="Telangana"/>
    <x v="1"/>
    <d v="2024-10-07T00:00:00"/>
    <x v="0"/>
    <x v="1"/>
    <x v="4"/>
    <x v="99"/>
    <x v="1"/>
    <x v="0"/>
    <n v="0"/>
    <n v="3198"/>
    <n v="1"/>
    <x v="0"/>
    <x v="0"/>
    <x v="0"/>
  </r>
  <r>
    <s v="UT-100334"/>
    <d v="2024-12-28T00:00:00"/>
    <s v="CUST_10333"/>
    <x v="1"/>
    <s v="ACC-NWY-OS"/>
    <x v="3"/>
    <s v="New Year Tiara"/>
    <n v="799"/>
    <n v="1"/>
    <n v="799"/>
    <s v="Dec20"/>
    <n v="20"/>
    <s v="Wallet"/>
    <x v="0"/>
    <s v="Delhi"/>
    <s v="Delhi"/>
    <x v="2"/>
    <d v="2025-01-22T00:00:00"/>
    <x v="0"/>
    <x v="0"/>
    <x v="0"/>
    <x v="0"/>
    <x v="0"/>
    <x v="0"/>
    <n v="159.80000000000001"/>
    <n v="779"/>
    <n v="0.97496871088861081"/>
    <x v="1"/>
    <x v="3"/>
    <x v="0"/>
  </r>
  <r>
    <s v="UT-100009"/>
    <d v="2024-10-02T00:00:00"/>
    <s v="CUST_10008"/>
    <x v="1"/>
    <s v="TOP-CAS-XL"/>
    <x v="0"/>
    <s v="Oversized Tee"/>
    <n v="1399"/>
    <n v="5"/>
    <n v="6995"/>
    <s v=""/>
    <n v="0"/>
    <s v="Credit Card"/>
    <x v="0"/>
    <s v="Ahmedabad"/>
    <s v="Gujarat"/>
    <x v="0"/>
    <d v="2024-10-09T00:00:00"/>
    <x v="0"/>
    <x v="1"/>
    <x v="3"/>
    <x v="100"/>
    <x v="1"/>
    <x v="0"/>
    <n v="0"/>
    <n v="6995"/>
    <n v="1"/>
    <x v="0"/>
    <x v="0"/>
    <x v="0"/>
  </r>
  <r>
    <s v="UT-100010"/>
    <d v="2024-10-02T00:00:00"/>
    <s v="CUST_10009"/>
    <x v="0"/>
    <s v="OUT-BLZ-M"/>
    <x v="1"/>
    <s v="Casual Blazer"/>
    <n v="4999"/>
    <n v="-1"/>
    <n v="4999"/>
    <s v=""/>
    <n v="0"/>
    <s v="Debit Card"/>
    <x v="1"/>
    <s v="Jaipur"/>
    <s v="Rajasthan"/>
    <x v="2"/>
    <d v="2024-10-11T00:00:00"/>
    <x v="0"/>
    <x v="1"/>
    <x v="1"/>
    <x v="101"/>
    <x v="2"/>
    <x v="1"/>
    <n v="0"/>
    <n v="4999"/>
    <n v="1"/>
    <x v="0"/>
    <x v="0"/>
    <x v="0"/>
  </r>
  <r>
    <s v="UT-100337"/>
    <d v="2024-12-28T00:00:00"/>
    <s v="CUST_10336"/>
    <x v="0"/>
    <s v="BOT-RES-M"/>
    <x v="2"/>
    <s v="Resolution Pants"/>
    <n v="2299"/>
    <n v="1"/>
    <n v="2299"/>
    <s v="Dec20"/>
    <n v="20"/>
    <s v="UPI"/>
    <x v="0"/>
    <s v="Hyderabad"/>
    <s v="Telangana"/>
    <x v="1"/>
    <d v="2025-01-24T00:00:00"/>
    <x v="0"/>
    <x v="0"/>
    <x v="0"/>
    <x v="0"/>
    <x v="0"/>
    <x v="0"/>
    <n v="459.8"/>
    <n v="2279"/>
    <n v="0.99130056546324485"/>
    <x v="1"/>
    <x v="3"/>
    <x v="0"/>
  </r>
  <r>
    <s v="UT-100014"/>
    <d v="2024-10-03T00:00:00"/>
    <s v="CUST_10013"/>
    <x v="0"/>
    <s v="BOT-SKT-S"/>
    <x v="2"/>
    <s v="Pleated Skirt"/>
    <n v="1799"/>
    <n v="2"/>
    <n v="3598"/>
    <s v="DIWALI20"/>
    <n v="20"/>
    <s v="UPI"/>
    <x v="1"/>
    <s v="Delhi"/>
    <s v="Delhi"/>
    <x v="2"/>
    <d v="2024-10-11T00:00:00"/>
    <x v="0"/>
    <x v="1"/>
    <x v="3"/>
    <x v="102"/>
    <x v="1"/>
    <x v="0"/>
    <n v="719.6"/>
    <n v="3578"/>
    <n v="0.99444135630906061"/>
    <x v="0"/>
    <x v="0"/>
    <x v="0"/>
  </r>
  <r>
    <s v="UT-100016"/>
    <d v="2024-10-04T00:00:00"/>
    <s v="CUST_10015"/>
    <x v="1"/>
    <s v="ACC-JWL-OS"/>
    <x v="3"/>
    <s v="Statement Earrings"/>
    <n v="599"/>
    <n v="4"/>
    <n v="2396"/>
    <s v=""/>
    <n v="0"/>
    <s v="COD"/>
    <x v="0"/>
    <s v="Noida"/>
    <s v="Uttar Pradesh"/>
    <x v="2"/>
    <d v="2024-10-14T00:00:00"/>
    <x v="0"/>
    <x v="1"/>
    <x v="2"/>
    <x v="103"/>
    <x v="1"/>
    <x v="0"/>
    <n v="0"/>
    <n v="2396"/>
    <n v="1"/>
    <x v="0"/>
    <x v="0"/>
    <x v="1"/>
  </r>
  <r>
    <s v="UT-100340"/>
    <d v="2024-12-29T00:00:00"/>
    <s v="CUST_10340"/>
    <x v="0"/>
    <s v="TOP-WIS-M"/>
    <x v="0"/>
    <s v="Wishes Top"/>
    <n v="1999"/>
    <n v="1"/>
    <n v="1999"/>
    <s v="Dec20"/>
    <n v="20"/>
    <s v="Debit Card"/>
    <x v="0"/>
    <s v="Jaipur"/>
    <s v="Rajasthan"/>
    <x v="2"/>
    <d v="2025-01-25T00:00:00"/>
    <x v="0"/>
    <x v="0"/>
    <x v="0"/>
    <x v="0"/>
    <x v="0"/>
    <x v="0"/>
    <n v="399.8"/>
    <n v="1979"/>
    <n v="0.98999499749874942"/>
    <x v="1"/>
    <x v="3"/>
    <x v="0"/>
  </r>
  <r>
    <s v="UT-100019"/>
    <d v="2024-10-04T00:00:00"/>
    <s v="CUST_10018"/>
    <x v="1"/>
    <s v="BOT-JGR-M"/>
    <x v="2"/>
    <s v="Joggers"/>
    <n v="1499"/>
    <n v="2"/>
    <n v="2998"/>
    <s v=""/>
    <n v="0"/>
    <s v="Wallet"/>
    <x v="1"/>
    <s v="Surat"/>
    <s v="Gujarat"/>
    <x v="0"/>
    <d v="2024-10-13T00:00:00"/>
    <x v="0"/>
    <x v="1"/>
    <x v="3"/>
    <x v="104"/>
    <x v="1"/>
    <x v="0"/>
    <n v="0"/>
    <n v="2998"/>
    <n v="1"/>
    <x v="0"/>
    <x v="0"/>
    <x v="0"/>
  </r>
  <r>
    <s v="UT-100342"/>
    <d v="2024-12-30T00:00:00"/>
    <s v="CUST_10341"/>
    <x v="0"/>
    <s v="BOT-NEW-S"/>
    <x v="2"/>
    <s v="New Beginning Pants"/>
    <n v="2099"/>
    <n v="1"/>
    <n v="2099"/>
    <s v=""/>
    <n v="0"/>
    <s v="UPI"/>
    <x v="1"/>
    <s v="Bangalore"/>
    <s v="Karnataka"/>
    <x v="1"/>
    <d v="2025-01-26T00:00:00"/>
    <x v="0"/>
    <x v="0"/>
    <x v="0"/>
    <x v="0"/>
    <x v="0"/>
    <x v="0"/>
    <n v="0"/>
    <n v="2099"/>
    <n v="1"/>
    <x v="1"/>
    <x v="1"/>
    <x v="0"/>
  </r>
  <r>
    <s v="UT-100022"/>
    <d v="2024-10-05T00:00:00"/>
    <s v="CUST_10021"/>
    <x v="1"/>
    <s v="DRS-SHT-XS"/>
    <x v="4"/>
    <s v="Shirt Dress"/>
    <n v="2399"/>
    <n v="1"/>
    <n v="2399"/>
    <s v=""/>
    <n v="0"/>
    <s v="Credit Card"/>
    <x v="0"/>
    <s v="Nagpur"/>
    <s v="Maharashtra"/>
    <x v="0"/>
    <d v="2024-10-16T00:00:00"/>
    <x v="0"/>
    <x v="1"/>
    <x v="5"/>
    <x v="105"/>
    <x v="1"/>
    <x v="0"/>
    <n v="0"/>
    <n v="2399"/>
    <n v="1"/>
    <x v="0"/>
    <x v="0"/>
    <x v="0"/>
  </r>
  <r>
    <s v="UT-100344"/>
    <d v="2024-12-30T00:00:00"/>
    <s v="CUST_10343"/>
    <x v="1"/>
    <s v="ACC-LCK-OS"/>
    <x v="3"/>
    <s v="Lucky Charm Bracelet"/>
    <n v="599"/>
    <n v="3"/>
    <n v="1797"/>
    <s v=""/>
    <n v="0"/>
    <s v="Wallet"/>
    <x v="2"/>
    <s v="Delhi"/>
    <s v="Delhi"/>
    <x v="2"/>
    <d v="2025-01-26T00:00:00"/>
    <x v="0"/>
    <x v="0"/>
    <x v="0"/>
    <x v="0"/>
    <x v="0"/>
    <x v="0"/>
    <n v="0"/>
    <n v="1797"/>
    <n v="1"/>
    <x v="1"/>
    <x v="1"/>
    <x v="0"/>
  </r>
  <r>
    <s v="UT-100024"/>
    <d v="2024-10-06T00:00:00"/>
    <s v="CUST_10023"/>
    <x v="0"/>
    <s v="BOT-SHT-M"/>
    <x v="2"/>
    <s v="Cotton Shorts"/>
    <n v="1199"/>
    <n v="3"/>
    <n v="3597"/>
    <s v=""/>
    <n v="0"/>
    <s v="COD"/>
    <x v="1"/>
    <s v="Kochi"/>
    <s v="Kerala"/>
    <x v="1"/>
    <d v="2024-10-18T00:00:00"/>
    <x v="0"/>
    <x v="1"/>
    <x v="4"/>
    <x v="92"/>
    <x v="1"/>
    <x v="0"/>
    <n v="0"/>
    <n v="3597"/>
    <n v="1"/>
    <x v="0"/>
    <x v="0"/>
    <x v="1"/>
  </r>
  <r>
    <s v="UT-100027"/>
    <d v="2024-10-06T00:00:00"/>
    <s v="CUST_10026"/>
    <x v="1"/>
    <s v="OUT-TRN-L"/>
    <x v="1"/>
    <s v="Trench Coat"/>
    <n v="4599"/>
    <n v="1"/>
    <n v="4599"/>
    <s v="FLAT10"/>
    <n v="10"/>
    <s v="Debit Card"/>
    <x v="0"/>
    <s v="Mysore"/>
    <s v="Karnataka"/>
    <x v="1"/>
    <d v="2024-10-19T00:00:00"/>
    <x v="0"/>
    <x v="1"/>
    <x v="3"/>
    <x v="93"/>
    <x v="1"/>
    <x v="0"/>
    <n v="459.9"/>
    <n v="4589"/>
    <n v="0.99782561426397043"/>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B3503-4B40-4286-9D79-48C69B29B4C0}" name="PivotTable2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57:J361" firstHeaderRow="1" firstDataRow="2" firstDataCol="1" rowPageCount="2" colPageCount="1"/>
  <pivotFields count="30">
    <pivotField dataField="1"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 axis="axisPage" multipleItemSelectionAllowed="1" showAll="0">
      <items count="4">
        <item h="1" x="1"/>
        <item x="0"/>
        <item h="1" x="2"/>
        <item t="default"/>
      </items>
    </pivotField>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13"/>
  </colFields>
  <colItems count="4">
    <i>
      <x/>
    </i>
    <i>
      <x v="1"/>
    </i>
    <i>
      <x v="2"/>
    </i>
    <i t="grand">
      <x/>
    </i>
  </colItems>
  <pageFields count="2">
    <pageField fld="19" hier="-1"/>
    <pageField fld="18"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91A33-93FD-4BF5-811A-5613A98BADF8}" name="PivotTable3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B234:C237" firstHeaderRow="1" firstDataRow="1" firstDataCol="1" rowPageCount="1"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9"/>
  </rowFields>
  <rowItems count="3">
    <i>
      <x/>
    </i>
    <i>
      <x v="1"/>
    </i>
    <i t="grand">
      <x/>
    </i>
  </rowItems>
  <colItems count="1">
    <i/>
  </colItems>
  <pageFields count="1">
    <pageField fld="18" hier="-1"/>
  </pageFields>
  <dataFields count="1">
    <dataField name="Shipped Orders" fld="0"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D6D912-5883-46F2-89A7-DE496B943718}" name="PivotTable3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B226:C229" firstHeaderRow="1" firstDataRow="1" firstDataCol="1" rowPageCount="1"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9"/>
  </rowFields>
  <rowItems count="3">
    <i>
      <x/>
    </i>
    <i>
      <x v="1"/>
    </i>
    <i t="grand">
      <x/>
    </i>
  </rowItems>
  <colItems count="1">
    <i/>
  </colItems>
  <pageFields count="1">
    <pageField fld="18" hier="-1"/>
  </pageFields>
  <dataFields count="1">
    <dataField name="RTO Orders " fld="0"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10837-02CE-457B-98D7-C65EA5C675DE}" name="PivotTable1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 Number">
  <location ref="J24:K39" firstHeaderRow="1" firstDataRow="1" firstDataCol="1" rowPageCount="2"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h="1" x="2"/>
        <item t="default"/>
      </items>
    </pivotField>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axis="axisRow" showAll="0">
      <items count="16">
        <item x="2"/>
        <item x="0"/>
        <item x="4"/>
        <item x="6"/>
        <item x="7"/>
        <item x="9"/>
        <item x="12"/>
        <item x="14"/>
        <item x="13"/>
        <item x="11"/>
        <item x="10"/>
        <item x="8"/>
        <item x="5"/>
        <item x="3"/>
        <item x="1"/>
        <item t="default"/>
      </items>
    </pivotField>
    <pivotField showAll="0"/>
  </pivotFields>
  <rowFields count="1">
    <field x="28"/>
  </rowFields>
  <rowItems count="15">
    <i>
      <x v="1"/>
    </i>
    <i>
      <x v="2"/>
    </i>
    <i>
      <x v="3"/>
    </i>
    <i>
      <x v="4"/>
    </i>
    <i>
      <x v="5"/>
    </i>
    <i>
      <x v="6"/>
    </i>
    <i>
      <x v="7"/>
    </i>
    <i>
      <x v="8"/>
    </i>
    <i>
      <x v="9"/>
    </i>
    <i>
      <x v="10"/>
    </i>
    <i>
      <x v="11"/>
    </i>
    <i>
      <x v="12"/>
    </i>
    <i>
      <x v="13"/>
    </i>
    <i>
      <x v="14"/>
    </i>
    <i t="grand">
      <x/>
    </i>
  </rowItems>
  <colItems count="1">
    <i/>
  </colItems>
  <pageFields count="2">
    <pageField fld="18" hier="-1"/>
    <pageField fld="19" hier="-1"/>
  </pageFields>
  <dataFields count="1">
    <dataField name="Returned Delivered Orders" fld="0" subtotal="count" baseField="2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F6FAC-4739-4751-8FFC-0EC5716DB1C8}" name="PivotTable1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8:E11"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
        <item s="1" x="0"/>
      </items>
    </pivotField>
  </pivotFields>
  <rowFields count="2">
    <field x="0"/>
    <field x="2"/>
  </rowFields>
  <rowItems count="3">
    <i>
      <x/>
    </i>
    <i r="1">
      <x/>
    </i>
    <i t="grand">
      <x/>
    </i>
  </rowItems>
  <colItems count="1">
    <i/>
  </colItems>
  <dataFields count="1">
    <dataField name="Count of Order I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t Intern_Shubham_Zarkar_February2026.xlsx!urbanthreads_q4">
        <x15:activeTabTopLevelEntity name="[urbanthreads_q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05C41D-1CD6-4DC8-B115-CA5486F7BA4C}" name="PivotTable1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4:E47" firstHeaderRow="1" firstDataRow="1" firstDataCol="1"/>
  <pivotFields count="30">
    <pivotField dataField="1"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Order volume by customer type"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BB9240-8450-4AA8-97C7-C315B538994F}" name="PivotTable2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6:E79"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9"/>
  </rowFields>
  <rowItems count="3">
    <i>
      <x/>
    </i>
    <i>
      <x v="1"/>
    </i>
    <i t="grand">
      <x/>
    </i>
  </rowItems>
  <colItems count="1">
    <i/>
  </colItems>
  <dataFields count="1">
    <dataField name="Payment type volume" fld="0"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7EAB44-7BDF-46A3-8478-66696BCB19F8}"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9" firstHeaderRow="1" firstDataRow="1" firstDataCol="1"/>
  <pivotFields count="30">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s>
  <rowFields count="1">
    <field x="23"/>
  </rowFields>
  <rowItems count="2">
    <i>
      <x v="1"/>
    </i>
    <i t="grand">
      <x/>
    </i>
  </rowItems>
  <colItems count="1">
    <i/>
  </colItems>
  <dataFields count="1">
    <dataField name="Sum of Q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639855-1888-478F-83D9-9523A0EF3947}" name="PivotTable3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7:H93" firstHeaderRow="1" firstDataRow="1" firstDataCol="1" rowPageCount="1" colPageCount="1"/>
  <pivotFields count="30">
    <pivotField dataField="1" showAll="0"/>
    <pivotField showAll="0"/>
    <pivotField showAll="0"/>
    <pivotField showAll="0"/>
    <pivotField showAll="0"/>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pageFields count="1">
    <pageField fld="18" item="1" hier="-1"/>
  </pageFields>
  <dataFields count="1">
    <dataField name="Category wise Order Volume(delivere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C652B7-5329-40A4-96A2-2D7421FEEC52}" name="PivotTable2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5:F69" firstHeaderRow="0" firstDataRow="1" firstDataCol="1"/>
  <pivotFields count="3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Sum of Net revenue" fld="25" baseField="0" baseItem="0"/>
    <dataField name="Count of Order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264A54-0FAE-4A1C-B542-4E14756FD5A6}" name="PivotTable2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6:K79" firstHeaderRow="1" firstDataRow="1" firstDataCol="1" rowPageCount="2"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9"/>
  </rowFields>
  <rowItems count="3">
    <i>
      <x/>
    </i>
    <i>
      <x v="1"/>
    </i>
    <i t="grand">
      <x/>
    </i>
  </rowItems>
  <colItems count="1">
    <i/>
  </colItems>
  <pageFields count="2">
    <pageField fld="18" item="1" hier="-1"/>
    <pageField fld="19" item="1" hier="-1"/>
  </pageFields>
  <dataFields count="1">
    <dataField name="Payment type volume" fld="0"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2168F0-FAA4-45F1-B72E-2CCA534F9C95}" name="PivotTable2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4:H58" firstHeaderRow="1" firstDataRow="1" firstDataCol="1" rowPageCount="1"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4">
    <i>
      <x/>
    </i>
    <i>
      <x v="1"/>
    </i>
    <i>
      <x v="2"/>
    </i>
    <i t="grand">
      <x/>
    </i>
  </rowItems>
  <colItems count="1">
    <i/>
  </colItems>
  <pageFields count="1">
    <pageField fld="18" hier="-1"/>
  </pageFields>
  <dataFields count="1">
    <dataField name="Order Volume by source(Delivere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5F170B-152E-4C81-A295-057DCD83B71D}" name="PivotTable2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7:E93" firstHeaderRow="1" firstDataRow="1" firstDataCol="1"/>
  <pivotFields count="30">
    <pivotField dataField="1" showAll="0"/>
    <pivotField showAll="0"/>
    <pivotField showAll="0"/>
    <pivotField showAll="0"/>
    <pivotField showAll="0"/>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ategory wise Order Volume"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5B15C8-FEF1-4B62-AB22-7691148DBF41}"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 Number">
  <location ref="D24:E40"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2"/>
        <item x="0"/>
        <item x="4"/>
        <item x="6"/>
        <item x="7"/>
        <item x="9"/>
        <item x="12"/>
        <item x="14"/>
        <item x="13"/>
        <item x="11"/>
        <item x="10"/>
        <item x="8"/>
        <item x="5"/>
        <item x="3"/>
        <item x="1"/>
        <item t="default"/>
      </items>
    </pivotField>
    <pivotField showAll="0"/>
  </pivotFields>
  <rowFields count="1">
    <field x="28"/>
  </rowFields>
  <rowItems count="16">
    <i>
      <x/>
    </i>
    <i>
      <x v="1"/>
    </i>
    <i>
      <x v="2"/>
    </i>
    <i>
      <x v="3"/>
    </i>
    <i>
      <x v="4"/>
    </i>
    <i>
      <x v="5"/>
    </i>
    <i>
      <x v="6"/>
    </i>
    <i>
      <x v="7"/>
    </i>
    <i>
      <x v="8"/>
    </i>
    <i>
      <x v="9"/>
    </i>
    <i>
      <x v="10"/>
    </i>
    <i>
      <x v="11"/>
    </i>
    <i>
      <x v="12"/>
    </i>
    <i>
      <x v="13"/>
    </i>
    <i>
      <x v="14"/>
    </i>
    <i t="grand">
      <x/>
    </i>
  </rowItems>
  <colItems count="1">
    <i/>
  </colItems>
  <dataFields count="1">
    <dataField name="Total Orders (By week)" fld="0" subtotal="count"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C9379BB-C5C3-40DA-8E29-D2F850B7E704}"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 Number">
  <location ref="G24:H40" firstHeaderRow="1" firstDataRow="1" firstDataCol="1" rowPageCount="1"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showAll="0"/>
    <pivotField showAll="0"/>
    <pivotField showAll="0"/>
    <pivotField showAll="0"/>
    <pivotField showAll="0"/>
    <pivotField axis="axisRow" showAll="0">
      <items count="16">
        <item x="2"/>
        <item x="0"/>
        <item x="4"/>
        <item x="6"/>
        <item x="7"/>
        <item x="9"/>
        <item x="12"/>
        <item x="14"/>
        <item x="13"/>
        <item x="11"/>
        <item x="10"/>
        <item x="8"/>
        <item x="5"/>
        <item x="3"/>
        <item x="1"/>
        <item t="default"/>
      </items>
    </pivotField>
    <pivotField showAll="0"/>
  </pivotFields>
  <rowFields count="1">
    <field x="28"/>
  </rowFields>
  <rowItems count="16">
    <i>
      <x/>
    </i>
    <i>
      <x v="1"/>
    </i>
    <i>
      <x v="2"/>
    </i>
    <i>
      <x v="3"/>
    </i>
    <i>
      <x v="4"/>
    </i>
    <i>
      <x v="5"/>
    </i>
    <i>
      <x v="6"/>
    </i>
    <i>
      <x v="7"/>
    </i>
    <i>
      <x v="8"/>
    </i>
    <i>
      <x v="9"/>
    </i>
    <i>
      <x v="10"/>
    </i>
    <i>
      <x v="11"/>
    </i>
    <i>
      <x v="12"/>
    </i>
    <i>
      <x v="13"/>
    </i>
    <i>
      <x v="14"/>
    </i>
    <i t="grand">
      <x/>
    </i>
  </rowItems>
  <colItems count="1">
    <i/>
  </colItems>
  <pageFields count="1">
    <pageField fld="18" hier="-1"/>
  </pageFields>
  <dataFields count="1">
    <dataField name="Total Orders Delivered" fld="0" subtotal="count"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680EAC-31BF-4091-98DA-8FB5BF21915E}"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8:I109" firstHeaderRow="1" firstDataRow="1" firstDataCol="0" rowPageCount="3" colPageCount="1"/>
  <pivotFields count="30">
    <pivotField dataField="1" showAll="0"/>
    <pivotField numFmtId="14"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h="1" x="2"/>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3">
    <pageField fld="18" hier="-1"/>
    <pageField fld="3" hier="-1"/>
    <pageField fld="19" item="1"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44B108F-02F6-47B9-9089-448264259494}"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4:E58"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Order Volume by source"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B9E6BD6-49B1-4C89-9FF7-05B0FE904D52}"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s>
  <rowFields count="1">
    <field x="23"/>
  </rowFields>
  <rowItems count="2">
    <i>
      <x v="1"/>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419D627-7BD0-45E3-8CC1-0A1D03BADE11}" name="PivotTable2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4:K58" firstHeaderRow="1" firstDataRow="1" firstDataCol="1" rowPageCount="2"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Page" multipleItemSelectionAllowed="1" showAll="0">
      <items count="4">
        <item h="1" x="1"/>
        <item x="0"/>
        <item h="1" x="2"/>
        <item t="default"/>
      </items>
    </pivotField>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4">
    <i>
      <x/>
    </i>
    <i>
      <x v="1"/>
    </i>
    <i>
      <x v="2"/>
    </i>
    <i t="grand">
      <x/>
    </i>
  </rowItems>
  <colItems count="1">
    <i/>
  </colItems>
  <pageFields count="2">
    <pageField fld="18" hier="-1"/>
    <pageField fld="19" hier="-1"/>
  </pageFields>
  <dataFields count="1">
    <dataField name="Order Volume by source(Returne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64EB87C-BBFA-4E66-B4D5-85C3F94DBD4C}"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02:O103" firstHeaderRow="1" firstDataRow="1" firstDataCol="0" rowPageCount="3" colPageCount="1"/>
  <pivotFields count="30">
    <pivotField dataField="1" showAll="0"/>
    <pivotField numFmtId="14"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h="1" x="2"/>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3">
    <pageField fld="18" hier="-1"/>
    <pageField fld="3" hier="-1"/>
    <pageField fld="19" item="1"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B07AC60-3349-4BFA-92C6-0D10974CDBCF}"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2"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s>
  <rowFields count="1">
    <field x="27"/>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E550873-B37E-4260-B275-CED1CC6E9EBC}"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3" firstHeaderRow="1" firstDataRow="1" firstDataCol="1"/>
  <pivotFields count="3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s>
  <rowFields count="1">
    <field x="23"/>
  </rowFields>
  <rowItems count="2">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F280093-C6CE-444D-BD6A-300274C73DEE}" name="PivotTable2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7:F211" firstHeaderRow="1" firstDataRow="2" firstDataCol="1" rowPageCount="1" colPageCount="1"/>
  <pivotFields count="3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13"/>
  </colFields>
  <colItems count="4">
    <i>
      <x/>
    </i>
    <i>
      <x v="1"/>
    </i>
    <i>
      <x v="2"/>
    </i>
    <i t="grand">
      <x/>
    </i>
  </colItems>
  <pageFields count="1">
    <pageField fld="18" item="1"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8C64B6E-D58B-4774-8F15-B8E6A6CB3E3E}"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8:F109" firstHeaderRow="1" firstDataRow="1" firstDataCol="0" rowPageCount="2" colPageCount="1"/>
  <pivotFields count="30">
    <pivotField dataField="1" showAll="0"/>
    <pivotField numFmtId="14"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18" hier="-1"/>
    <pageField fld="3"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195CAE1-6E46-4D24-8189-9D2DC4B713A7}"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arehouse ">
  <location ref="F113:G117"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Orders Handled by warehouse" fld="0"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280A421-B5D5-4C09-B0E5-B5A192562FF2}" name="PivotTable2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6:H79" firstHeaderRow="1" firstDataRow="1" firstDataCol="1" rowPageCount="1"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9"/>
  </rowFields>
  <rowItems count="3">
    <i>
      <x/>
    </i>
    <i>
      <x v="1"/>
    </i>
    <i t="grand">
      <x/>
    </i>
  </rowItems>
  <colItems count="1">
    <i/>
  </colItems>
  <pageFields count="1">
    <pageField fld="18" hier="-1"/>
  </pageFields>
  <dataFields count="1">
    <dataField name="Payment Type (Delivered)" fld="0"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48DA27A-606A-45E0-830F-B2A37B42054D}" name="PivotTable1" cacheId="3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02:G103" firstHeaderRow="1" firstDataRow="1" firstDataCol="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
    <i>
      <x v="2"/>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C6712C1-E663-47E5-B974-BF64AD0702A6}"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2:L103" firstHeaderRow="1" firstDataRow="1" firstDataCol="0" rowPageCount="2" colPageCount="1"/>
  <pivotFields count="30">
    <pivotField dataField="1" showAll="0"/>
    <pivotField numFmtId="14"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18" hier="-1"/>
    <pageField fld="3"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3E2CB7B-2061-4148-BE20-D8B0EBD92125}" name="PivotTable2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turn Reason">
  <location ref="B189:C195" firstHeaderRow="1" firstDataRow="1" firstDataCol="1" rowPageCount="1"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axis="axisRow" showAll="0" sortType="descending">
      <items count="7">
        <item x="0"/>
        <item x="4"/>
        <item x="2"/>
        <item x="5"/>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20"/>
  </rowFields>
  <rowItems count="6">
    <i>
      <x v="4"/>
    </i>
    <i>
      <x v="3"/>
    </i>
    <i>
      <x v="1"/>
    </i>
    <i>
      <x v="5"/>
    </i>
    <i>
      <x v="2"/>
    </i>
    <i t="grand">
      <x/>
    </i>
  </rowItems>
  <colItems count="1">
    <i/>
  </colItems>
  <pageFields count="1">
    <pageField fld="19" hier="-1"/>
  </pageFields>
  <dataFields count="1">
    <dataField name="Percentage of returns by product category" fld="0" subtotal="count" showDataAs="percentOfTotal" baseField="20" baseItem="1" numFmtId="10"/>
  </dataFields>
  <formats count="7">
    <format dxfId="8">
      <pivotArea type="all" dataOnly="0" outline="0" fieldPosition="0"/>
    </format>
    <format dxfId="7">
      <pivotArea outline="0" collapsedLevelsAreSubtotals="1" fieldPosition="0"/>
    </format>
    <format dxfId="6">
      <pivotArea field="20" type="button" dataOnly="0" labelOnly="1" outline="0" axis="axisRow" fieldPosition="0"/>
    </format>
    <format dxfId="5">
      <pivotArea dataOnly="0" labelOnly="1" fieldPosition="0">
        <references count="1">
          <reference field="20" count="5">
            <x v="1"/>
            <x v="2"/>
            <x v="3"/>
            <x v="4"/>
            <x v="5"/>
          </reference>
        </references>
      </pivotArea>
    </format>
    <format dxfId="4">
      <pivotArea dataOnly="0" labelOnly="1" grandRow="1" outline="0" fieldPosition="0"/>
    </format>
    <format dxfId="3">
      <pivotArea dataOnly="0" labelOnly="1" outline="0" axis="axisValues" fieldPosition="0"/>
    </format>
    <format dxfId="2">
      <pivotArea outline="0" fieldPosition="0">
        <references count="1">
          <reference field="4294967294" count="1">
            <x v="0"/>
          </reference>
        </references>
      </pivotArea>
    </format>
  </formats>
  <chartFormats count="6">
    <chartFormat chart="13"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B5F08FA-44D0-4A0D-9646-B004CE8C11CC}" name="PivotTable3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7:K93" firstHeaderRow="1" firstDataRow="1" firstDataCol="1" rowPageCount="2" colPageCount="1"/>
  <pivotFields count="30">
    <pivotField dataField="1" showAll="0"/>
    <pivotField showAll="0"/>
    <pivotField showAll="0"/>
    <pivotField showAll="0"/>
    <pivotField showAll="0"/>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pageFields count="2">
    <pageField fld="18" item="1" hier="-1"/>
    <pageField fld="19" item="1" hier="-1"/>
  </pageFields>
  <dataFields count="1">
    <dataField name="Category wise Order Volume"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D4FD3EC-FE22-43C9-8D6F-24428D817C81}"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2:I103" firstHeaderRow="1" firstDataRow="1" firstDataCol="0" rowPageCount="2" colPageCount="1"/>
  <pivotFields count="3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07">
        <item x="97"/>
        <item x="99"/>
        <item x="98"/>
        <item x="100"/>
        <item x="101"/>
        <item x="103"/>
        <item x="102"/>
        <item x="104"/>
        <item x="105"/>
        <item x="92"/>
        <item x="93"/>
        <item x="91"/>
        <item x="94"/>
        <item x="96"/>
        <item x="95"/>
        <item x="88"/>
        <item x="70"/>
        <item x="71"/>
        <item x="72"/>
        <item x="89"/>
        <item x="73"/>
        <item x="90"/>
        <item x="74"/>
        <item x="77"/>
        <item x="75"/>
        <item x="76"/>
        <item x="78"/>
        <item x="80"/>
        <item x="79"/>
        <item x="81"/>
        <item x="83"/>
        <item x="82"/>
        <item x="84"/>
        <item x="85"/>
        <item x="87"/>
        <item x="86"/>
        <item x="64"/>
        <item x="63"/>
        <item x="65"/>
        <item x="66"/>
        <item x="68"/>
        <item x="67"/>
        <item x="69"/>
        <item x="56"/>
        <item x="59"/>
        <item x="57"/>
        <item x="58"/>
        <item x="61"/>
        <item x="52"/>
        <item x="60"/>
        <item x="53"/>
        <item x="62"/>
        <item x="39"/>
        <item x="40"/>
        <item x="54"/>
        <item x="41"/>
        <item x="42"/>
        <item x="55"/>
        <item x="43"/>
        <item x="50"/>
        <item x="44"/>
        <item x="51"/>
        <item x="45"/>
        <item x="46"/>
        <item x="47"/>
        <item x="48"/>
        <item x="49"/>
        <item x="27"/>
        <item x="26"/>
        <item x="30"/>
        <item x="28"/>
        <item x="29"/>
        <item x="31"/>
        <item x="32"/>
        <item x="33"/>
        <item x="34"/>
        <item x="35"/>
        <item x="36"/>
        <item x="37"/>
        <item x="38"/>
        <item x="15"/>
        <item x="16"/>
        <item x="17"/>
        <item x="18"/>
        <item x="19"/>
        <item x="20"/>
        <item x="21"/>
        <item x="22"/>
        <item x="23"/>
        <item x="24"/>
        <item x="4"/>
        <item x="25"/>
        <item x="5"/>
        <item x="6"/>
        <item x="7"/>
        <item x="8"/>
        <item x="9"/>
        <item x="10"/>
        <item x="11"/>
        <item x="12"/>
        <item x="13"/>
        <item x="14"/>
        <item x="2"/>
        <item x="1"/>
        <item x="3"/>
        <item h="1" x="0"/>
        <item t="default"/>
      </items>
    </pivotField>
    <pivotField axis="axisPage" multipleItemSelectionAllowed="1" showAll="0">
      <items count="4">
        <item h="1" x="0"/>
        <item h="1" x="2"/>
        <item x="1"/>
        <item t="default"/>
      </items>
    </pivotField>
    <pivotField showAll="0"/>
    <pivotField showAll="0"/>
    <pivotField showAll="0"/>
    <pivotField showAll="0"/>
    <pivotField showAll="0"/>
    <pivotField showAll="0"/>
    <pivotField showAll="0"/>
  </pivotFields>
  <rowItems count="1">
    <i/>
  </rowItems>
  <colItems count="1">
    <i/>
  </colItems>
  <pageFields count="2">
    <pageField fld="22" hier="-1"/>
    <pageField fld="21"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0F0073A-C5FF-4506-8920-28FC457B64E4}" name="PivotTable9"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E5"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Sum of Discount_amount"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t Intern_Shubham_Zarkar_February2026.xlsx!urbanthreads_q4">
        <x15:activeTabTopLevelEntity name="[urbanthreads_q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C1DDE10-49CA-4DC0-9C19-A04ACBCEE77C}" name="PivotTable1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4:I47" firstHeaderRow="0" firstDataRow="1" firstDataCol="1"/>
  <pivotFields count="30">
    <pivotField dataField="1"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Order volume by customer type" fld="0" subtotal="count" baseField="3" baseItem="0"/>
    <dataField name="Sum of Net 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6E5585-1083-486A-8E6D-6765FEBA97B1}" autoFormatId="16" applyNumberFormats="0" applyBorderFormats="0" applyFontFormats="0" applyPatternFormats="0" applyAlignmentFormats="0" applyWidthHeightFormats="0">
  <queryTableRefresh nextId="32" unboundColumnsRight="7">
    <queryTableFields count="30">
      <queryTableField id="1" name="Order ID" tableColumnId="1"/>
      <queryTableField id="2" name="Order Date" tableColumnId="2"/>
      <queryTableField id="3" name="Customer ID" tableColumnId="3"/>
      <queryTableField id="4" name="Type" tableColumnId="4"/>
      <queryTableField id="5" name="SKU" tableColumnId="5"/>
      <queryTableField id="6" name="Category" tableColumnId="6"/>
      <queryTableField id="7" name="Product Name" tableColumnId="7"/>
      <queryTableField id="8" name="Unit Price" tableColumnId="8"/>
      <queryTableField id="9" name="Qty" tableColumnId="9"/>
      <queryTableField id="10" name="Total" tableColumnId="10"/>
      <queryTableField id="11" name="Discount Code" tableColumnId="11"/>
      <queryTableField id="12" name="Disc %" tableColumnId="12"/>
      <queryTableField id="13" name="Payment" tableColumnId="13"/>
      <queryTableField id="14" name="Source" tableColumnId="14"/>
      <queryTableField id="15" name="City" tableColumnId="15"/>
      <queryTableField id="16" name="State" tableColumnId="16"/>
      <queryTableField id="17" name="Warehouse" tableColumnId="17"/>
      <queryTableField id="18" name="Del Date" tableColumnId="18"/>
      <queryTableField id="19" name="Status" tableColumnId="19"/>
      <queryTableField id="20" name="Return?" tableColumnId="20"/>
      <queryTableField id="21" name="Reason" tableColumnId="21"/>
      <queryTableField id="22" name="Ret Rec" tableColumnId="22"/>
      <queryTableField id="23" name="Refund" tableColumnId="23"/>
      <queryTableField id="24" dataBound="0" tableColumnId="24"/>
      <queryTableField id="26" dataBound="0" tableColumnId="26"/>
      <queryTableField id="27" dataBound="0" tableColumnId="27"/>
      <queryTableField id="28" dataBound="0" tableColumnId="28"/>
      <queryTableField id="29" dataBound="0" tableColumnId="29"/>
      <queryTableField id="30" dataBound="0" tableColumnId="25"/>
      <queryTableField id="31" dataBound="0"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B0A178-9C93-4F40-96FF-38C9B99BFFB6}" name="urbanthreads_q4" displayName="urbanthreads_q4" ref="A1:AD347" tableType="queryTable" totalsRowShown="0">
  <autoFilter ref="A1:AD347" xr:uid="{3BB0A178-9C93-4F40-96FF-38C9B99BFFB6}"/>
  <sortState xmlns:xlrd2="http://schemas.microsoft.com/office/spreadsheetml/2017/richdata2" ref="A3:AC347">
    <sortCondition descending="1" ref="AC1:AC347"/>
  </sortState>
  <tableColumns count="30">
    <tableColumn id="1" xr3:uid="{AD3536D3-A219-4D51-8EB2-2770790B4395}" uniqueName="1" name="Order ID" queryTableFieldId="1" dataDxfId="34"/>
    <tableColumn id="2" xr3:uid="{45AC2D2D-1314-4939-8FCA-664F1290850F}" uniqueName="2" name="Order Date" queryTableFieldId="2" dataDxfId="33"/>
    <tableColumn id="3" xr3:uid="{E54BD982-1178-4C8B-9CAC-4C6D9ED40B47}" uniqueName="3" name="Customer ID" queryTableFieldId="3" dataDxfId="32"/>
    <tableColumn id="4" xr3:uid="{1E98E5F2-46EA-499E-8A2D-6D8B37639026}" uniqueName="4" name="Type" queryTableFieldId="4" dataDxfId="31"/>
    <tableColumn id="5" xr3:uid="{41DDCEC8-333F-4769-8561-5EF6348DF1F6}" uniqueName="5" name="SKU" queryTableFieldId="5" dataDxfId="30"/>
    <tableColumn id="6" xr3:uid="{3C72615C-27F8-44ED-B548-41897AA6C86A}" uniqueName="6" name="Category" queryTableFieldId="6" dataDxfId="29"/>
    <tableColumn id="7" xr3:uid="{874A2FE1-9D96-4777-BF65-04C5A3BB44B8}" uniqueName="7" name="Product Name" queryTableFieldId="7" dataDxfId="28"/>
    <tableColumn id="8" xr3:uid="{97007A85-249C-4818-8751-6C111C36699A}" uniqueName="8" name="Unit Price" queryTableFieldId="8"/>
    <tableColumn id="9" xr3:uid="{120A943B-EEE2-4E6A-A415-CE0C8C616B2E}" uniqueName="9" name="Qty" queryTableFieldId="9"/>
    <tableColumn id="10" xr3:uid="{6F204298-3D9F-46E7-A156-A9ECA11BC60F}" uniqueName="10" name="Total" queryTableFieldId="10"/>
    <tableColumn id="11" xr3:uid="{3B1C66AD-DEBD-477A-A58D-0C46C78341B9}" uniqueName="11" name="Discount Code" queryTableFieldId="11" dataDxfId="27"/>
    <tableColumn id="12" xr3:uid="{56FB83DE-CCE6-4C6E-8A8F-03A7F0BF4742}" uniqueName="12" name="Disc %" queryTableFieldId="12"/>
    <tableColumn id="13" xr3:uid="{A999CFC0-D1CB-4FF4-8151-93062E5B10BD}" uniqueName="13" name="Payment" queryTableFieldId="13" dataDxfId="26"/>
    <tableColumn id="14" xr3:uid="{2432EE77-6F68-433D-99FC-C14FEE8393C1}" uniqueName="14" name="Source" queryTableFieldId="14" dataDxfId="25"/>
    <tableColumn id="15" xr3:uid="{2BC84B59-7B9E-451D-A708-887BCBCD226E}" uniqueName="15" name="City" queryTableFieldId="15" dataDxfId="24"/>
    <tableColumn id="16" xr3:uid="{935F107F-23B5-4588-A218-3B644655DB70}" uniqueName="16" name="State" queryTableFieldId="16" dataDxfId="23"/>
    <tableColumn id="17" xr3:uid="{20C1019E-E4B7-49A4-B26D-5F3A0A729E9E}" uniqueName="17" name="Warehouse" queryTableFieldId="17" dataDxfId="22"/>
    <tableColumn id="18" xr3:uid="{46DBD7DE-54F2-47AB-B172-E099B02ADFF2}" uniqueName="18" name="Del Date" queryTableFieldId="18" dataDxfId="21"/>
    <tableColumn id="19" xr3:uid="{D2D6C99A-C8CE-47B2-BD3B-09B74884A160}" uniqueName="19" name="Status" queryTableFieldId="19" dataDxfId="20"/>
    <tableColumn id="20" xr3:uid="{883A52A9-B3E3-4F5F-8BC6-6FF39E11D5BB}" uniqueName="20" name="Return?" queryTableFieldId="20" dataDxfId="19"/>
    <tableColumn id="21" xr3:uid="{75BCB299-D456-4877-9F48-7C66E2FB6383}" uniqueName="21" name="Reason" queryTableFieldId="21" dataDxfId="18"/>
    <tableColumn id="22" xr3:uid="{1EAE6911-2414-4ED7-AA72-83B357E36E5C}" uniqueName="22" name="Ret Rec" queryTableFieldId="22" dataDxfId="17"/>
    <tableColumn id="23" xr3:uid="{939FE14D-DA3A-4683-98FE-42DB03CD48F5}" uniqueName="23" name="Refund" queryTableFieldId="23" dataDxfId="16"/>
    <tableColumn id="24" xr3:uid="{921E12D5-8786-4EA5-9D24-C55EBCE37502}" uniqueName="24" name="valid_quantity_flag" queryTableFieldId="24" dataDxfId="15">
      <calculatedColumnFormula>IF(urbanthreads_q4[[#This Row],[Qty]]&gt;0,"Valid","Invalid")</calculatedColumnFormula>
    </tableColumn>
    <tableColumn id="26" xr3:uid="{94E2091E-5478-4B8B-BF51-538D39912D4C}" uniqueName="26" name="Discount_amount" queryTableFieldId="26" dataDxfId="14">
      <calculatedColumnFormula>urbanthreads_q4[[#This Row],[Total]]*urbanthreads_q4[[#This Row],[Disc %]]/100</calculatedColumnFormula>
    </tableColumn>
    <tableColumn id="27" xr3:uid="{0A95F127-D933-4FFC-9AA9-978D93B65B53}" uniqueName="27" name="Net revenue" queryTableFieldId="27" dataDxfId="13">
      <calculatedColumnFormula>urbanthreads_q4[[#This Row],[Total]]-urbanthreads_q4[[#This Row],[Disc %]]</calculatedColumnFormula>
    </tableColumn>
    <tableColumn id="28" xr3:uid="{E1FEF4C6-87FB-4F61-8CE1-BCC215239913}" uniqueName="28" name="Average order value" queryTableFieldId="28" dataDxfId="12">
      <calculatedColumnFormula>urbanthreads_q4[[#This Row],[Net revenue]]/urbanthreads_q4[[#This Row],[Total]]</calculatedColumnFormula>
    </tableColumn>
    <tableColumn id="29" xr3:uid="{D43C595F-E60A-4570-A7F4-8F101F85EC05}" uniqueName="29" name="Order_month" queryTableFieldId="29" dataDxfId="11">
      <calculatedColumnFormula>TEXT(urbanthreads_q4[[#This Row],[Order Date]],"mm-yyyy")</calculatedColumnFormula>
    </tableColumn>
    <tableColumn id="25" xr3:uid="{B7E1D41B-80B7-4ECF-B9E9-4A05BA821255}" uniqueName="25" name="Order_week" queryTableFieldId="30" dataDxfId="10">
      <calculatedColumnFormula>YEAR(urbanthreads_q4[[#This Row],[Order Date]]) &amp; "-W" &amp; WEEKNUM(urbanthreads_q4[[#This Row],[Order Date]], 2)</calculatedColumnFormula>
    </tableColumn>
    <tableColumn id="30" xr3:uid="{9FEA2046-045C-486D-BEB7-9E8561D7C6F1}" uniqueName="30" name="Payment Type" queryTableFieldId="31" dataDxfId="9">
      <calculatedColumnFormula>IF(urbanthreads_q4[[#This Row],[Payment]]="COD","COD","Prepaid")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4.xml"/><Relationship Id="rId18" Type="http://schemas.openxmlformats.org/officeDocument/2006/relationships/pivotTable" Target="../pivotTables/pivotTable19.xml"/><Relationship Id="rId26" Type="http://schemas.openxmlformats.org/officeDocument/2006/relationships/pivotTable" Target="../pivotTables/pivotTable27.xml"/><Relationship Id="rId3" Type="http://schemas.openxmlformats.org/officeDocument/2006/relationships/pivotTable" Target="../pivotTables/pivotTable4.xml"/><Relationship Id="rId21" Type="http://schemas.openxmlformats.org/officeDocument/2006/relationships/pivotTable" Target="../pivotTables/pivotTable22.xml"/><Relationship Id="rId34" Type="http://schemas.openxmlformats.org/officeDocument/2006/relationships/drawing" Target="../drawings/drawing1.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5" Type="http://schemas.openxmlformats.org/officeDocument/2006/relationships/pivotTable" Target="../pivotTables/pivotTable26.xml"/><Relationship Id="rId33" Type="http://schemas.openxmlformats.org/officeDocument/2006/relationships/printerSettings" Target="../printerSettings/printerSettings1.bin"/><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29" Type="http://schemas.openxmlformats.org/officeDocument/2006/relationships/pivotTable" Target="../pivotTables/pivotTable30.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24" Type="http://schemas.openxmlformats.org/officeDocument/2006/relationships/pivotTable" Target="../pivotTables/pivotTable25.xml"/><Relationship Id="rId32" Type="http://schemas.openxmlformats.org/officeDocument/2006/relationships/pivotTable" Target="../pivotTables/pivotTable33.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openxmlformats.org/officeDocument/2006/relationships/pivotTable" Target="../pivotTables/pivotTable24.xml"/><Relationship Id="rId28" Type="http://schemas.openxmlformats.org/officeDocument/2006/relationships/pivotTable" Target="../pivotTables/pivotTable29.xml"/><Relationship Id="rId10" Type="http://schemas.openxmlformats.org/officeDocument/2006/relationships/pivotTable" Target="../pivotTables/pivotTable11.xml"/><Relationship Id="rId19" Type="http://schemas.openxmlformats.org/officeDocument/2006/relationships/pivotTable" Target="../pivotTables/pivotTable20.xml"/><Relationship Id="rId31" Type="http://schemas.openxmlformats.org/officeDocument/2006/relationships/pivotTable" Target="../pivotTables/pivotTable32.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 Id="rId27" Type="http://schemas.openxmlformats.org/officeDocument/2006/relationships/pivotTable" Target="../pivotTables/pivotTable28.xml"/><Relationship Id="rId30" Type="http://schemas.openxmlformats.org/officeDocument/2006/relationships/pivotTable" Target="../pivotTables/pivotTable31.xml"/><Relationship Id="rId8"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1DB7D-D2B1-4A81-A33C-4AB7E5CCB451}">
  <dimension ref="A1:AD361"/>
  <sheetViews>
    <sheetView workbookViewId="0">
      <selection activeCell="AD2" sqref="AD2"/>
    </sheetView>
  </sheetViews>
  <sheetFormatPr defaultRowHeight="14.4" x14ac:dyDescent="0.3"/>
  <cols>
    <col min="1" max="1" width="10.109375" bestFit="1" customWidth="1"/>
    <col min="2" max="2" width="12.21875" style="2" bestFit="1" customWidth="1"/>
    <col min="3" max="3" width="13.44140625" bestFit="1" customWidth="1"/>
    <col min="4" max="4" width="8.6640625" bestFit="1" customWidth="1"/>
    <col min="5" max="5" width="12.44140625" bestFit="1" customWidth="1"/>
    <col min="6" max="6" width="15.109375" bestFit="1" customWidth="1"/>
    <col min="7" max="7" width="15.5546875" bestFit="1" customWidth="1"/>
    <col min="8" max="8" width="10.33203125" bestFit="1" customWidth="1"/>
    <col min="9" max="9" width="7.88671875" bestFit="1" customWidth="1"/>
    <col min="10" max="10" width="10.5546875" bestFit="1" customWidth="1"/>
    <col min="11" max="11" width="15.33203125" bestFit="1" customWidth="1"/>
    <col min="12" max="12" width="8.77734375" bestFit="1" customWidth="1"/>
    <col min="13" max="13" width="10.5546875" bestFit="1" customWidth="1"/>
    <col min="14" max="14" width="13.44140625" bestFit="1" customWidth="1"/>
    <col min="15" max="15" width="17.77734375" bestFit="1" customWidth="1"/>
    <col min="16" max="16" width="15.88671875" bestFit="1" customWidth="1"/>
    <col min="17" max="17" width="12.44140625" bestFit="1" customWidth="1"/>
    <col min="18" max="18" width="10.33203125" style="2" bestFit="1" customWidth="1"/>
    <col min="19" max="20" width="9.5546875" bestFit="1" customWidth="1"/>
    <col min="21" max="21" width="16.33203125" bestFit="1" customWidth="1"/>
    <col min="22" max="22" width="10.33203125" style="2" bestFit="1" customWidth="1"/>
    <col min="23" max="23" width="12.6640625" bestFit="1" customWidth="1"/>
  </cols>
  <sheetData>
    <row r="1" spans="1:30"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c r="R1" s="2" t="s">
        <v>17</v>
      </c>
      <c r="S1" t="s">
        <v>18</v>
      </c>
      <c r="T1" t="s">
        <v>19</v>
      </c>
      <c r="U1" t="s">
        <v>20</v>
      </c>
      <c r="V1" s="2" t="s">
        <v>21</v>
      </c>
      <c r="W1" t="s">
        <v>22</v>
      </c>
      <c r="X1" t="s">
        <v>1515</v>
      </c>
      <c r="Y1" t="s">
        <v>1524</v>
      </c>
      <c r="Z1" t="s">
        <v>1525</v>
      </c>
      <c r="AA1" t="s">
        <v>1527</v>
      </c>
      <c r="AB1" t="s">
        <v>1531</v>
      </c>
      <c r="AC1" t="s">
        <v>1573</v>
      </c>
      <c r="AD1" t="s">
        <v>1613</v>
      </c>
    </row>
    <row r="2" spans="1:30" x14ac:dyDescent="0.3">
      <c r="A2" s="1" t="s">
        <v>23</v>
      </c>
      <c r="B2" s="2">
        <v>45566</v>
      </c>
      <c r="C2" s="1" t="s">
        <v>24</v>
      </c>
      <c r="D2" s="1" t="s">
        <v>25</v>
      </c>
      <c r="E2" s="1" t="s">
        <v>26</v>
      </c>
      <c r="F2" s="1" t="s">
        <v>27</v>
      </c>
      <c r="G2" s="1" t="s">
        <v>28</v>
      </c>
      <c r="H2">
        <v>1299</v>
      </c>
      <c r="I2">
        <v>2</v>
      </c>
      <c r="J2">
        <v>2598</v>
      </c>
      <c r="K2" s="1" t="s">
        <v>29</v>
      </c>
      <c r="L2">
        <v>0</v>
      </c>
      <c r="M2" s="1" t="s">
        <v>30</v>
      </c>
      <c r="N2" s="1" t="s">
        <v>31</v>
      </c>
      <c r="O2" s="1" t="s">
        <v>32</v>
      </c>
      <c r="P2" s="1" t="s">
        <v>33</v>
      </c>
      <c r="Q2" s="1" t="s">
        <v>32</v>
      </c>
      <c r="R2" s="2">
        <v>45570</v>
      </c>
      <c r="S2" s="1" t="s">
        <v>34</v>
      </c>
      <c r="T2" s="1" t="s">
        <v>35</v>
      </c>
      <c r="U2" s="1" t="s">
        <v>29</v>
      </c>
      <c r="W2" s="1" t="s">
        <v>36</v>
      </c>
      <c r="X2" s="1" t="str">
        <f>IF(urbanthreads_q4[[#This Row],[Qty]]&gt;0,"Valid","Invalid")</f>
        <v>Valid</v>
      </c>
      <c r="Y2" s="1">
        <f>urbanthreads_q4[[#This Row],[Total]]*urbanthreads_q4[[#This Row],[Disc %]]/100</f>
        <v>0</v>
      </c>
      <c r="Z2" s="1">
        <f>urbanthreads_q4[[#This Row],[Total]]-urbanthreads_q4[[#This Row],[Disc %]]</f>
        <v>2598</v>
      </c>
      <c r="AA2" s="1">
        <f>urbanthreads_q4[[#This Row],[Net revenue]]/urbanthreads_q4[[#This Row],[Total]]</f>
        <v>1</v>
      </c>
      <c r="AB2" s="1" t="str">
        <f>TEXT(urbanthreads_q4[[#This Row],[Order Date]],"mm-yyyy")</f>
        <v>10-2024</v>
      </c>
      <c r="AC2" s="1" t="str">
        <f>YEAR(urbanthreads_q4[[#This Row],[Order Date]]) &amp; "-W" &amp; WEEKNUM(urbanthreads_q4[[#This Row],[Order Date]], 2)</f>
        <v>2024-W40</v>
      </c>
      <c r="AD2" s="1" t="str">
        <f>IF(urbanthreads_q4[[#This Row],[Payment]]="COD","COD","Prepaid")</f>
        <v>Prepaid</v>
      </c>
    </row>
    <row r="3" spans="1:30" x14ac:dyDescent="0.3">
      <c r="A3" s="1" t="s">
        <v>1464</v>
      </c>
      <c r="B3" s="2">
        <v>45656</v>
      </c>
      <c r="C3" s="1" t="s">
        <v>1465</v>
      </c>
      <c r="D3" s="1" t="s">
        <v>25</v>
      </c>
      <c r="E3" s="1" t="s">
        <v>1466</v>
      </c>
      <c r="F3" s="1" t="s">
        <v>62</v>
      </c>
      <c r="G3" s="1" t="s">
        <v>1467</v>
      </c>
      <c r="H3">
        <v>4899</v>
      </c>
      <c r="I3">
        <v>1</v>
      </c>
      <c r="J3">
        <v>4899</v>
      </c>
      <c r="K3" s="1" t="s">
        <v>995</v>
      </c>
      <c r="L3">
        <v>20</v>
      </c>
      <c r="M3" s="1" t="s">
        <v>56</v>
      </c>
      <c r="N3" s="1" t="s">
        <v>31</v>
      </c>
      <c r="O3" s="1" t="s">
        <v>32</v>
      </c>
      <c r="P3" s="1" t="s">
        <v>33</v>
      </c>
      <c r="Q3" s="1" t="s">
        <v>32</v>
      </c>
      <c r="R3" s="2">
        <v>45684</v>
      </c>
      <c r="S3" s="1" t="s">
        <v>34</v>
      </c>
      <c r="T3" s="1" t="s">
        <v>47</v>
      </c>
      <c r="U3" s="1" t="s">
        <v>105</v>
      </c>
      <c r="V3" s="2">
        <v>45712</v>
      </c>
      <c r="W3" s="1" t="s">
        <v>49</v>
      </c>
      <c r="X3" s="1" t="str">
        <f>IF(urbanthreads_q4[[#This Row],[Qty]]&gt;0,"Valid","Invalid")</f>
        <v>Valid</v>
      </c>
      <c r="Y3" s="1">
        <f>urbanthreads_q4[[#This Row],[Total]]*urbanthreads_q4[[#This Row],[Disc %]]/100</f>
        <v>979.8</v>
      </c>
      <c r="Z3" s="1">
        <f>urbanthreads_q4[[#This Row],[Total]]-urbanthreads_q4[[#This Row],[Disc %]]</f>
        <v>4879</v>
      </c>
      <c r="AA3" s="1">
        <f>urbanthreads_q4[[#This Row],[Net revenue]]/urbanthreads_q4[[#This Row],[Total]]</f>
        <v>0.9959175341906511</v>
      </c>
      <c r="AB3" s="1" t="str">
        <f>TEXT(urbanthreads_q4[[#This Row],[Order Date]],"mm-yyyy")</f>
        <v>12-2024</v>
      </c>
      <c r="AC3" s="1" t="str">
        <f>YEAR(urbanthreads_q4[[#This Row],[Order Date]]) &amp; "-W" &amp; WEEKNUM(urbanthreads_q4[[#This Row],[Order Date]], 2)</f>
        <v>2024-W53</v>
      </c>
      <c r="AD3" s="1" t="str">
        <f>IF(urbanthreads_q4[[#This Row],[Payment]]="COD","COD","Prepaid")</f>
        <v>COD</v>
      </c>
    </row>
    <row r="4" spans="1:30" x14ac:dyDescent="0.3">
      <c r="A4" s="1" t="s">
        <v>50</v>
      </c>
      <c r="B4" s="2">
        <v>45301</v>
      </c>
      <c r="C4" s="1" t="s">
        <v>51</v>
      </c>
      <c r="D4" s="1" t="s">
        <v>52</v>
      </c>
      <c r="E4" s="1" t="s">
        <v>53</v>
      </c>
      <c r="F4" s="1" t="s">
        <v>54</v>
      </c>
      <c r="G4" s="1" t="s">
        <v>55</v>
      </c>
      <c r="H4">
        <v>1899</v>
      </c>
      <c r="I4">
        <v>1</v>
      </c>
      <c r="J4">
        <v>1899</v>
      </c>
      <c r="K4" s="1" t="s">
        <v>29</v>
      </c>
      <c r="L4">
        <v>0</v>
      </c>
      <c r="M4" s="1" t="s">
        <v>56</v>
      </c>
      <c r="N4" s="1" t="s">
        <v>31</v>
      </c>
      <c r="O4" s="1" t="s">
        <v>57</v>
      </c>
      <c r="P4" s="1" t="s">
        <v>58</v>
      </c>
      <c r="Q4" s="1" t="s">
        <v>57</v>
      </c>
      <c r="R4" s="2">
        <v>45571</v>
      </c>
      <c r="S4" s="1" t="s">
        <v>34</v>
      </c>
      <c r="T4" s="1" t="s">
        <v>35</v>
      </c>
      <c r="U4" s="1" t="s">
        <v>29</v>
      </c>
      <c r="W4" s="1" t="s">
        <v>36</v>
      </c>
      <c r="X4" s="1" t="str">
        <f>IF(urbanthreads_q4[[#This Row],[Qty]]&gt;0,"Valid","Invalid")</f>
        <v>Valid</v>
      </c>
      <c r="Y4" s="1">
        <f>urbanthreads_q4[[#This Row],[Total]]*urbanthreads_q4[[#This Row],[Disc %]]/100</f>
        <v>0</v>
      </c>
      <c r="Z4" s="1">
        <f>urbanthreads_q4[[#This Row],[Total]]-urbanthreads_q4[[#This Row],[Disc %]]</f>
        <v>1899</v>
      </c>
      <c r="AA4" s="1">
        <f>urbanthreads_q4[[#This Row],[Net revenue]]/urbanthreads_q4[[#This Row],[Total]]</f>
        <v>1</v>
      </c>
      <c r="AB4" s="1" t="str">
        <f>TEXT(urbanthreads_q4[[#This Row],[Order Date]],"mm-yyyy")</f>
        <v>01-2024</v>
      </c>
      <c r="AC4" s="1" t="str">
        <f>YEAR(urbanthreads_q4[[#This Row],[Order Date]]) &amp; "-W" &amp; WEEKNUM(urbanthreads_q4[[#This Row],[Order Date]], 2)</f>
        <v>2024-W2</v>
      </c>
      <c r="AD4" s="1" t="str">
        <f>IF(urbanthreads_q4[[#This Row],[Payment]]="COD","COD","Prepaid")</f>
        <v>COD</v>
      </c>
    </row>
    <row r="5" spans="1:30" x14ac:dyDescent="0.3">
      <c r="A5" s="1" t="s">
        <v>1472</v>
      </c>
      <c r="B5" s="2">
        <v>45656</v>
      </c>
      <c r="C5" s="1" t="s">
        <v>1473</v>
      </c>
      <c r="D5" s="1" t="s">
        <v>25</v>
      </c>
      <c r="E5" s="1" t="s">
        <v>1474</v>
      </c>
      <c r="F5" s="1" t="s">
        <v>27</v>
      </c>
      <c r="G5" s="1" t="s">
        <v>1475</v>
      </c>
      <c r="H5">
        <v>2199</v>
      </c>
      <c r="I5">
        <v>1</v>
      </c>
      <c r="J5">
        <v>2199</v>
      </c>
      <c r="K5" s="1" t="s">
        <v>29</v>
      </c>
      <c r="L5">
        <v>0</v>
      </c>
      <c r="M5" s="1" t="s">
        <v>65</v>
      </c>
      <c r="N5" s="1" t="s">
        <v>66</v>
      </c>
      <c r="O5" s="1" t="s">
        <v>119</v>
      </c>
      <c r="P5" s="1" t="s">
        <v>120</v>
      </c>
      <c r="Q5" s="1" t="s">
        <v>46</v>
      </c>
      <c r="R5" s="2">
        <v>45684</v>
      </c>
      <c r="S5" s="1" t="s">
        <v>34</v>
      </c>
      <c r="T5" s="1" t="s">
        <v>47</v>
      </c>
      <c r="U5" s="1" t="s">
        <v>139</v>
      </c>
      <c r="V5" s="2">
        <v>45711</v>
      </c>
      <c r="W5" s="1" t="s">
        <v>49</v>
      </c>
      <c r="X5" s="1" t="str">
        <f>IF(urbanthreads_q4[[#This Row],[Qty]]&gt;0,"Valid","Invalid")</f>
        <v>Valid</v>
      </c>
      <c r="Y5" s="1">
        <f>urbanthreads_q4[[#This Row],[Total]]*urbanthreads_q4[[#This Row],[Disc %]]/100</f>
        <v>0</v>
      </c>
      <c r="Z5" s="1">
        <f>urbanthreads_q4[[#This Row],[Total]]-urbanthreads_q4[[#This Row],[Disc %]]</f>
        <v>2199</v>
      </c>
      <c r="AA5" s="1">
        <f>urbanthreads_q4[[#This Row],[Net revenue]]/urbanthreads_q4[[#This Row],[Total]]</f>
        <v>1</v>
      </c>
      <c r="AB5" s="1" t="str">
        <f>TEXT(urbanthreads_q4[[#This Row],[Order Date]],"mm-yyyy")</f>
        <v>12-2024</v>
      </c>
      <c r="AC5" s="1" t="str">
        <f>YEAR(urbanthreads_q4[[#This Row],[Order Date]]) &amp; "-W" &amp; WEEKNUM(urbanthreads_q4[[#This Row],[Order Date]], 2)</f>
        <v>2024-W53</v>
      </c>
      <c r="AD5" s="1" t="str">
        <f>IF(urbanthreads_q4[[#This Row],[Payment]]="COD","COD","Prepaid")</f>
        <v>Prepaid</v>
      </c>
    </row>
    <row r="6" spans="1:30" x14ac:dyDescent="0.3">
      <c r="A6" s="1" t="s">
        <v>70</v>
      </c>
      <c r="B6" s="2">
        <v>45566</v>
      </c>
      <c r="C6" s="1" t="s">
        <v>24</v>
      </c>
      <c r="D6" s="1" t="s">
        <v>25</v>
      </c>
      <c r="E6" s="1" t="s">
        <v>71</v>
      </c>
      <c r="F6" s="1" t="s">
        <v>72</v>
      </c>
      <c r="G6" s="1" t="s">
        <v>73</v>
      </c>
      <c r="H6">
        <v>799</v>
      </c>
      <c r="I6">
        <v>3</v>
      </c>
      <c r="J6">
        <v>2397</v>
      </c>
      <c r="K6" s="1" t="s">
        <v>29</v>
      </c>
      <c r="L6">
        <v>0</v>
      </c>
      <c r="M6" s="1" t="s">
        <v>30</v>
      </c>
      <c r="N6" s="1" t="s">
        <v>31</v>
      </c>
      <c r="O6" s="1" t="s">
        <v>32</v>
      </c>
      <c r="P6" s="1" t="s">
        <v>33</v>
      </c>
      <c r="Q6" s="1" t="s">
        <v>32</v>
      </c>
      <c r="R6" s="2">
        <v>45571</v>
      </c>
      <c r="S6" s="1" t="s">
        <v>34</v>
      </c>
      <c r="T6" s="1" t="s">
        <v>35</v>
      </c>
      <c r="U6" s="1" t="s">
        <v>29</v>
      </c>
      <c r="W6" s="1" t="s">
        <v>36</v>
      </c>
      <c r="X6" s="1" t="str">
        <f>IF(urbanthreads_q4[[#This Row],[Qty]]&gt;0,"Valid","Invalid")</f>
        <v>Valid</v>
      </c>
      <c r="Y6" s="1">
        <f>urbanthreads_q4[[#This Row],[Total]]*urbanthreads_q4[[#This Row],[Disc %]]/100</f>
        <v>0</v>
      </c>
      <c r="Z6" s="1">
        <f>urbanthreads_q4[[#This Row],[Total]]-urbanthreads_q4[[#This Row],[Disc %]]</f>
        <v>2397</v>
      </c>
      <c r="AA6" s="1">
        <f>urbanthreads_q4[[#This Row],[Net revenue]]/urbanthreads_q4[[#This Row],[Total]]</f>
        <v>1</v>
      </c>
      <c r="AB6" s="1" t="str">
        <f>TEXT(urbanthreads_q4[[#This Row],[Order Date]],"mm-yyyy")</f>
        <v>10-2024</v>
      </c>
      <c r="AC6" s="1" t="str">
        <f>YEAR(urbanthreads_q4[[#This Row],[Order Date]]) &amp; "-W" &amp; WEEKNUM(urbanthreads_q4[[#This Row],[Order Date]], 2)</f>
        <v>2024-W40</v>
      </c>
      <c r="AD6" s="1" t="str">
        <f>IF(urbanthreads_q4[[#This Row],[Payment]]="COD","COD","Prepaid")</f>
        <v>Prepaid</v>
      </c>
    </row>
    <row r="7" spans="1:30" x14ac:dyDescent="0.3">
      <c r="A7" s="1" t="s">
        <v>1476</v>
      </c>
      <c r="B7" s="2">
        <v>45657</v>
      </c>
      <c r="C7" s="1" t="s">
        <v>1477</v>
      </c>
      <c r="D7" s="1" t="s">
        <v>25</v>
      </c>
      <c r="E7" s="1" t="s">
        <v>1478</v>
      </c>
      <c r="F7" s="1" t="s">
        <v>41</v>
      </c>
      <c r="G7" s="1" t="s">
        <v>1161</v>
      </c>
      <c r="H7">
        <v>4499</v>
      </c>
      <c r="I7">
        <v>1</v>
      </c>
      <c r="J7">
        <v>4499</v>
      </c>
      <c r="K7" s="1" t="s">
        <v>995</v>
      </c>
      <c r="L7">
        <v>20</v>
      </c>
      <c r="M7" s="1" t="s">
        <v>44</v>
      </c>
      <c r="N7" s="1" t="s">
        <v>31</v>
      </c>
      <c r="O7" s="1" t="s">
        <v>138</v>
      </c>
      <c r="P7" s="1" t="s">
        <v>114</v>
      </c>
      <c r="Q7" s="1" t="s">
        <v>46</v>
      </c>
      <c r="R7" s="2">
        <v>45685</v>
      </c>
      <c r="S7" s="1" t="s">
        <v>34</v>
      </c>
      <c r="T7" s="1" t="s">
        <v>47</v>
      </c>
      <c r="U7" s="1" t="s">
        <v>48</v>
      </c>
      <c r="V7" s="2">
        <v>45713</v>
      </c>
      <c r="W7" s="1" t="s">
        <v>49</v>
      </c>
      <c r="X7" s="1" t="str">
        <f>IF(urbanthreads_q4[[#This Row],[Qty]]&gt;0,"Valid","Invalid")</f>
        <v>Valid</v>
      </c>
      <c r="Y7" s="1">
        <f>urbanthreads_q4[[#This Row],[Total]]*urbanthreads_q4[[#This Row],[Disc %]]/100</f>
        <v>899.8</v>
      </c>
      <c r="Z7" s="1">
        <f>urbanthreads_q4[[#This Row],[Total]]-urbanthreads_q4[[#This Row],[Disc %]]</f>
        <v>4479</v>
      </c>
      <c r="AA7" s="1">
        <f>urbanthreads_q4[[#This Row],[Net revenue]]/urbanthreads_q4[[#This Row],[Total]]</f>
        <v>0.99555456768170703</v>
      </c>
      <c r="AB7" s="1" t="str">
        <f>TEXT(urbanthreads_q4[[#This Row],[Order Date]],"mm-yyyy")</f>
        <v>12-2024</v>
      </c>
      <c r="AC7" s="1" t="str">
        <f>YEAR(urbanthreads_q4[[#This Row],[Order Date]]) &amp; "-W" &amp; WEEKNUM(urbanthreads_q4[[#This Row],[Order Date]], 2)</f>
        <v>2024-W53</v>
      </c>
      <c r="AD7" s="1" t="str">
        <f>IF(urbanthreads_q4[[#This Row],[Payment]]="COD","COD","Prepaid")</f>
        <v>Prepaid</v>
      </c>
    </row>
    <row r="8" spans="1:30" x14ac:dyDescent="0.3">
      <c r="A8" s="1" t="s">
        <v>81</v>
      </c>
      <c r="B8" s="2">
        <v>45567</v>
      </c>
      <c r="C8" s="1" t="s">
        <v>82</v>
      </c>
      <c r="D8" s="1" t="s">
        <v>25</v>
      </c>
      <c r="E8" s="1" t="s">
        <v>83</v>
      </c>
      <c r="F8" s="1" t="s">
        <v>41</v>
      </c>
      <c r="G8" s="1" t="s">
        <v>84</v>
      </c>
      <c r="H8">
        <v>2199</v>
      </c>
      <c r="I8">
        <v>1</v>
      </c>
      <c r="J8">
        <v>2199</v>
      </c>
      <c r="K8" s="1" t="s">
        <v>43</v>
      </c>
      <c r="L8">
        <v>20</v>
      </c>
      <c r="M8" s="1" t="s">
        <v>56</v>
      </c>
      <c r="N8" s="1" t="s">
        <v>31</v>
      </c>
      <c r="O8" s="1" t="s">
        <v>85</v>
      </c>
      <c r="P8" s="1" t="s">
        <v>33</v>
      </c>
      <c r="Q8" s="1" t="s">
        <v>32</v>
      </c>
      <c r="S8" s="1" t="s">
        <v>86</v>
      </c>
      <c r="T8" s="1" t="s">
        <v>35</v>
      </c>
      <c r="U8" s="1" t="s">
        <v>29</v>
      </c>
      <c r="W8" s="1" t="s">
        <v>36</v>
      </c>
      <c r="X8" s="1" t="str">
        <f>IF(urbanthreads_q4[[#This Row],[Qty]]&gt;0,"Valid","Invalid")</f>
        <v>Valid</v>
      </c>
      <c r="Y8" s="1">
        <f>urbanthreads_q4[[#This Row],[Total]]*urbanthreads_q4[[#This Row],[Disc %]]/100</f>
        <v>439.8</v>
      </c>
      <c r="Z8" s="1">
        <f>urbanthreads_q4[[#This Row],[Total]]-urbanthreads_q4[[#This Row],[Disc %]]</f>
        <v>2179</v>
      </c>
      <c r="AA8" s="1">
        <f>urbanthreads_q4[[#This Row],[Net revenue]]/urbanthreads_q4[[#This Row],[Total]]</f>
        <v>0.99090495679854484</v>
      </c>
      <c r="AB8" s="1" t="str">
        <f>TEXT(urbanthreads_q4[[#This Row],[Order Date]],"mm-yyyy")</f>
        <v>10-2024</v>
      </c>
      <c r="AC8" s="1" t="str">
        <f>YEAR(urbanthreads_q4[[#This Row],[Order Date]]) &amp; "-W" &amp; WEEKNUM(urbanthreads_q4[[#This Row],[Order Date]], 2)</f>
        <v>2024-W40</v>
      </c>
      <c r="AD8" s="1" t="str">
        <f>IF(urbanthreads_q4[[#This Row],[Payment]]="COD","COD","Prepaid")</f>
        <v>COD</v>
      </c>
    </row>
    <row r="9" spans="1:30" x14ac:dyDescent="0.3">
      <c r="A9" s="1" t="s">
        <v>87</v>
      </c>
      <c r="B9" s="2">
        <v>45567</v>
      </c>
      <c r="C9" s="1" t="s">
        <v>88</v>
      </c>
      <c r="D9" s="1" t="s">
        <v>25</v>
      </c>
      <c r="E9" s="1" t="s">
        <v>89</v>
      </c>
      <c r="F9" s="1" t="s">
        <v>54</v>
      </c>
      <c r="G9" s="1" t="s">
        <v>90</v>
      </c>
      <c r="H9">
        <v>2299</v>
      </c>
      <c r="I9">
        <v>1</v>
      </c>
      <c r="J9">
        <v>2299</v>
      </c>
      <c r="K9" s="1" t="s">
        <v>29</v>
      </c>
      <c r="L9">
        <v>0</v>
      </c>
      <c r="M9" s="1" t="s">
        <v>30</v>
      </c>
      <c r="N9" s="1" t="s">
        <v>45</v>
      </c>
      <c r="O9" s="1" t="s">
        <v>91</v>
      </c>
      <c r="P9" s="1" t="s">
        <v>92</v>
      </c>
      <c r="Q9" s="1" t="s">
        <v>46</v>
      </c>
      <c r="R9" s="2">
        <v>45575</v>
      </c>
      <c r="S9" s="1" t="s">
        <v>34</v>
      </c>
      <c r="T9" s="1" t="s">
        <v>35</v>
      </c>
      <c r="U9" s="1" t="s">
        <v>29</v>
      </c>
      <c r="W9" s="1" t="s">
        <v>36</v>
      </c>
      <c r="X9" s="1" t="str">
        <f>IF(urbanthreads_q4[[#This Row],[Qty]]&gt;0,"Valid","Invalid")</f>
        <v>Valid</v>
      </c>
      <c r="Y9" s="1">
        <f>urbanthreads_q4[[#This Row],[Total]]*urbanthreads_q4[[#This Row],[Disc %]]/100</f>
        <v>0</v>
      </c>
      <c r="Z9" s="1">
        <f>urbanthreads_q4[[#This Row],[Total]]-urbanthreads_q4[[#This Row],[Disc %]]</f>
        <v>2299</v>
      </c>
      <c r="AA9" s="1">
        <f>urbanthreads_q4[[#This Row],[Net revenue]]/urbanthreads_q4[[#This Row],[Total]]</f>
        <v>1</v>
      </c>
      <c r="AB9" s="1" t="str">
        <f>TEXT(urbanthreads_q4[[#This Row],[Order Date]],"mm-yyyy")</f>
        <v>10-2024</v>
      </c>
      <c r="AC9" s="1" t="str">
        <f>YEAR(urbanthreads_q4[[#This Row],[Order Date]]) &amp; "-W" &amp; WEEKNUM(urbanthreads_q4[[#This Row],[Order Date]], 2)</f>
        <v>2024-W40</v>
      </c>
      <c r="AD9" s="1" t="str">
        <f>IF(urbanthreads_q4[[#This Row],[Payment]]="COD","COD","Prepaid")</f>
        <v>Prepaid</v>
      </c>
    </row>
    <row r="10" spans="1:30" x14ac:dyDescent="0.3">
      <c r="A10" s="1" t="s">
        <v>1353</v>
      </c>
      <c r="B10" s="2">
        <v>45649</v>
      </c>
      <c r="C10" s="1" t="s">
        <v>1354</v>
      </c>
      <c r="D10" s="1" t="s">
        <v>25</v>
      </c>
      <c r="E10" s="1" t="s">
        <v>1355</v>
      </c>
      <c r="F10" s="1" t="s">
        <v>27</v>
      </c>
      <c r="G10" s="1" t="s">
        <v>1356</v>
      </c>
      <c r="H10">
        <v>2199</v>
      </c>
      <c r="I10">
        <v>1</v>
      </c>
      <c r="J10">
        <v>2199</v>
      </c>
      <c r="K10" s="1" t="s">
        <v>29</v>
      </c>
      <c r="L10">
        <v>0</v>
      </c>
      <c r="M10" s="1" t="s">
        <v>65</v>
      </c>
      <c r="N10" s="1" t="s">
        <v>66</v>
      </c>
      <c r="O10" s="1" t="s">
        <v>32</v>
      </c>
      <c r="P10" s="1" t="s">
        <v>33</v>
      </c>
      <c r="Q10" s="1" t="s">
        <v>32</v>
      </c>
      <c r="R10" s="2">
        <v>45672</v>
      </c>
      <c r="S10" s="1" t="s">
        <v>34</v>
      </c>
      <c r="T10" s="1" t="s">
        <v>47</v>
      </c>
      <c r="U10" s="1" t="s">
        <v>139</v>
      </c>
      <c r="V10" s="2">
        <v>45699</v>
      </c>
      <c r="W10" s="1" t="s">
        <v>49</v>
      </c>
      <c r="X10" s="1" t="str">
        <f>IF(urbanthreads_q4[[#This Row],[Qty]]&gt;0,"Valid","Invalid")</f>
        <v>Valid</v>
      </c>
      <c r="Y10" s="1">
        <f>urbanthreads_q4[[#This Row],[Total]]*urbanthreads_q4[[#This Row],[Disc %]]/100</f>
        <v>0</v>
      </c>
      <c r="Z10" s="1">
        <f>urbanthreads_q4[[#This Row],[Total]]-urbanthreads_q4[[#This Row],[Disc %]]</f>
        <v>2199</v>
      </c>
      <c r="AA10" s="1">
        <f>urbanthreads_q4[[#This Row],[Net revenue]]/urbanthreads_q4[[#This Row],[Total]]</f>
        <v>1</v>
      </c>
      <c r="AB10" s="1" t="str">
        <f>TEXT(urbanthreads_q4[[#This Row],[Order Date]],"mm-yyyy")</f>
        <v>12-2024</v>
      </c>
      <c r="AC10" s="1" t="str">
        <f>YEAR(urbanthreads_q4[[#This Row],[Order Date]]) &amp; "-W" &amp; WEEKNUM(urbanthreads_q4[[#This Row],[Order Date]], 2)</f>
        <v>2024-W52</v>
      </c>
      <c r="AD10" s="1" t="str">
        <f>IF(urbanthreads_q4[[#This Row],[Payment]]="COD","COD","Prepaid")</f>
        <v>Prepaid</v>
      </c>
    </row>
    <row r="11" spans="1:30" x14ac:dyDescent="0.3">
      <c r="A11" s="1" t="s">
        <v>1357</v>
      </c>
      <c r="B11" s="2">
        <v>45649</v>
      </c>
      <c r="C11" s="1" t="s">
        <v>1358</v>
      </c>
      <c r="D11" s="1" t="s">
        <v>25</v>
      </c>
      <c r="E11" s="1" t="s">
        <v>1359</v>
      </c>
      <c r="F11" s="1" t="s">
        <v>41</v>
      </c>
      <c r="G11" s="1" t="s">
        <v>1360</v>
      </c>
      <c r="H11">
        <v>3799</v>
      </c>
      <c r="I11">
        <v>1</v>
      </c>
      <c r="J11">
        <v>3799</v>
      </c>
      <c r="K11" s="1" t="s">
        <v>995</v>
      </c>
      <c r="L11">
        <v>20</v>
      </c>
      <c r="M11" s="1" t="s">
        <v>44</v>
      </c>
      <c r="N11" s="1" t="s">
        <v>31</v>
      </c>
      <c r="O11" s="1" t="s">
        <v>46</v>
      </c>
      <c r="P11" s="1" t="s">
        <v>46</v>
      </c>
      <c r="Q11" s="1" t="s">
        <v>46</v>
      </c>
      <c r="R11" s="2">
        <v>45673</v>
      </c>
      <c r="S11" s="1" t="s">
        <v>34</v>
      </c>
      <c r="T11" s="1" t="s">
        <v>47</v>
      </c>
      <c r="U11" s="1" t="s">
        <v>48</v>
      </c>
      <c r="V11" s="2">
        <v>45701</v>
      </c>
      <c r="W11" s="1" t="s">
        <v>49</v>
      </c>
      <c r="X11" s="1" t="str">
        <f>IF(urbanthreads_q4[[#This Row],[Qty]]&gt;0,"Valid","Invalid")</f>
        <v>Valid</v>
      </c>
      <c r="Y11" s="1">
        <f>urbanthreads_q4[[#This Row],[Total]]*urbanthreads_q4[[#This Row],[Disc %]]/100</f>
        <v>759.8</v>
      </c>
      <c r="Z11" s="1">
        <f>urbanthreads_q4[[#This Row],[Total]]-urbanthreads_q4[[#This Row],[Disc %]]</f>
        <v>3779</v>
      </c>
      <c r="AA11" s="1">
        <f>urbanthreads_q4[[#This Row],[Net revenue]]/urbanthreads_q4[[#This Row],[Total]]</f>
        <v>0.99473545669913133</v>
      </c>
      <c r="AB11" s="1" t="str">
        <f>TEXT(urbanthreads_q4[[#This Row],[Order Date]],"mm-yyyy")</f>
        <v>12-2024</v>
      </c>
      <c r="AC11" s="1" t="str">
        <f>YEAR(urbanthreads_q4[[#This Row],[Order Date]]) &amp; "-W" &amp; WEEKNUM(urbanthreads_q4[[#This Row],[Order Date]], 2)</f>
        <v>2024-W52</v>
      </c>
      <c r="AD11" s="1" t="str">
        <f>IF(urbanthreads_q4[[#This Row],[Payment]]="COD","COD","Prepaid")</f>
        <v>Prepaid</v>
      </c>
    </row>
    <row r="12" spans="1:30" x14ac:dyDescent="0.3">
      <c r="A12" s="1" t="s">
        <v>107</v>
      </c>
      <c r="B12" s="2">
        <v>45568</v>
      </c>
      <c r="C12" s="1" t="s">
        <v>108</v>
      </c>
      <c r="D12" s="1" t="s">
        <v>25</v>
      </c>
      <c r="E12" s="1" t="s">
        <v>109</v>
      </c>
      <c r="F12" s="1" t="s">
        <v>72</v>
      </c>
      <c r="G12" s="1" t="s">
        <v>110</v>
      </c>
      <c r="H12">
        <v>1299</v>
      </c>
      <c r="I12">
        <v>2</v>
      </c>
      <c r="J12">
        <v>2598</v>
      </c>
      <c r="K12" s="1" t="s">
        <v>111</v>
      </c>
      <c r="L12">
        <v>10</v>
      </c>
      <c r="M12" s="1" t="s">
        <v>112</v>
      </c>
      <c r="N12" s="1" t="s">
        <v>31</v>
      </c>
      <c r="O12" s="1" t="s">
        <v>113</v>
      </c>
      <c r="P12" s="1" t="s">
        <v>114</v>
      </c>
      <c r="Q12" s="1" t="s">
        <v>46</v>
      </c>
      <c r="R12" s="2">
        <v>45575</v>
      </c>
      <c r="S12" s="1" t="s">
        <v>34</v>
      </c>
      <c r="T12" s="1" t="s">
        <v>35</v>
      </c>
      <c r="U12" s="1" t="s">
        <v>29</v>
      </c>
      <c r="W12" s="1" t="s">
        <v>36</v>
      </c>
      <c r="X12" s="1" t="str">
        <f>IF(urbanthreads_q4[[#This Row],[Qty]]&gt;0,"Valid","Invalid")</f>
        <v>Valid</v>
      </c>
      <c r="Y12" s="1">
        <f>urbanthreads_q4[[#This Row],[Total]]*urbanthreads_q4[[#This Row],[Disc %]]/100</f>
        <v>259.8</v>
      </c>
      <c r="Z12" s="1">
        <f>urbanthreads_q4[[#This Row],[Total]]-urbanthreads_q4[[#This Row],[Disc %]]</f>
        <v>2588</v>
      </c>
      <c r="AA12" s="1">
        <f>urbanthreads_q4[[#This Row],[Net revenue]]/urbanthreads_q4[[#This Row],[Total]]</f>
        <v>0.99615088529638185</v>
      </c>
      <c r="AB12" s="1" t="str">
        <f>TEXT(urbanthreads_q4[[#This Row],[Order Date]],"mm-yyyy")</f>
        <v>10-2024</v>
      </c>
      <c r="AC12" s="1" t="str">
        <f>YEAR(urbanthreads_q4[[#This Row],[Order Date]]) &amp; "-W" &amp; WEEKNUM(urbanthreads_q4[[#This Row],[Order Date]], 2)</f>
        <v>2024-W40</v>
      </c>
      <c r="AD12" s="1" t="str">
        <f>IF(urbanthreads_q4[[#This Row],[Payment]]="COD","COD","Prepaid")</f>
        <v>Prepaid</v>
      </c>
    </row>
    <row r="13" spans="1:30" x14ac:dyDescent="0.3">
      <c r="A13" s="1" t="s">
        <v>115</v>
      </c>
      <c r="B13" s="2">
        <v>45568</v>
      </c>
      <c r="C13" s="1" t="s">
        <v>116</v>
      </c>
      <c r="D13" s="1" t="s">
        <v>25</v>
      </c>
      <c r="E13" s="1" t="s">
        <v>117</v>
      </c>
      <c r="F13" s="1" t="s">
        <v>41</v>
      </c>
      <c r="G13" s="1" t="s">
        <v>118</v>
      </c>
      <c r="H13">
        <v>3299</v>
      </c>
      <c r="I13">
        <v>1</v>
      </c>
      <c r="J13">
        <v>3299</v>
      </c>
      <c r="K13" s="1" t="s">
        <v>29</v>
      </c>
      <c r="L13">
        <v>0</v>
      </c>
      <c r="M13" s="1" t="s">
        <v>56</v>
      </c>
      <c r="N13" s="1" t="s">
        <v>45</v>
      </c>
      <c r="O13" s="1" t="s">
        <v>119</v>
      </c>
      <c r="P13" s="1" t="s">
        <v>120</v>
      </c>
      <c r="Q13" s="1" t="s">
        <v>46</v>
      </c>
      <c r="S13" s="1" t="s">
        <v>121</v>
      </c>
      <c r="T13" s="1" t="s">
        <v>35</v>
      </c>
      <c r="U13" s="1" t="s">
        <v>29</v>
      </c>
      <c r="W13" s="1" t="s">
        <v>36</v>
      </c>
      <c r="X13" s="1" t="str">
        <f>IF(urbanthreads_q4[[#This Row],[Qty]]&gt;0,"Valid","Invalid")</f>
        <v>Valid</v>
      </c>
      <c r="Y13" s="1">
        <f>urbanthreads_q4[[#This Row],[Total]]*urbanthreads_q4[[#This Row],[Disc %]]/100</f>
        <v>0</v>
      </c>
      <c r="Z13" s="1">
        <f>urbanthreads_q4[[#This Row],[Total]]-urbanthreads_q4[[#This Row],[Disc %]]</f>
        <v>3299</v>
      </c>
      <c r="AA13" s="1">
        <f>urbanthreads_q4[[#This Row],[Net revenue]]/urbanthreads_q4[[#This Row],[Total]]</f>
        <v>1</v>
      </c>
      <c r="AB13" s="1" t="str">
        <f>TEXT(urbanthreads_q4[[#This Row],[Order Date]],"mm-yyyy")</f>
        <v>10-2024</v>
      </c>
      <c r="AC13" s="1" t="str">
        <f>YEAR(urbanthreads_q4[[#This Row],[Order Date]]) &amp; "-W" &amp; WEEKNUM(urbanthreads_q4[[#This Row],[Order Date]], 2)</f>
        <v>2024-W40</v>
      </c>
      <c r="AD13" s="1" t="str">
        <f>IF(urbanthreads_q4[[#This Row],[Payment]]="COD","COD","Prepaid")</f>
        <v>COD</v>
      </c>
    </row>
    <row r="14" spans="1:30" x14ac:dyDescent="0.3">
      <c r="A14" s="1" t="s">
        <v>122</v>
      </c>
      <c r="B14" s="2">
        <v>45568</v>
      </c>
      <c r="C14" s="1" t="s">
        <v>123</v>
      </c>
      <c r="D14" s="1" t="s">
        <v>39</v>
      </c>
      <c r="E14" s="1" t="s">
        <v>124</v>
      </c>
      <c r="F14" s="1" t="s">
        <v>27</v>
      </c>
      <c r="G14" s="1" t="s">
        <v>125</v>
      </c>
      <c r="H14">
        <v>2499</v>
      </c>
      <c r="I14">
        <v>1</v>
      </c>
      <c r="J14">
        <v>2499</v>
      </c>
      <c r="K14" s="1" t="s">
        <v>29</v>
      </c>
      <c r="L14">
        <v>0</v>
      </c>
      <c r="M14" s="1" t="s">
        <v>44</v>
      </c>
      <c r="N14" s="1" t="s">
        <v>31</v>
      </c>
      <c r="O14" s="1" t="s">
        <v>32</v>
      </c>
      <c r="P14" s="1" t="s">
        <v>33</v>
      </c>
      <c r="Q14" s="1" t="s">
        <v>32</v>
      </c>
      <c r="R14" s="2">
        <v>45574</v>
      </c>
      <c r="S14" s="1" t="s">
        <v>34</v>
      </c>
      <c r="T14" s="1" t="s">
        <v>35</v>
      </c>
      <c r="U14" s="1" t="s">
        <v>29</v>
      </c>
      <c r="W14" s="1" t="s">
        <v>36</v>
      </c>
      <c r="X14" s="1" t="str">
        <f>IF(urbanthreads_q4[[#This Row],[Qty]]&gt;0,"Valid","Invalid")</f>
        <v>Valid</v>
      </c>
      <c r="Y14" s="1">
        <f>urbanthreads_q4[[#This Row],[Total]]*urbanthreads_q4[[#This Row],[Disc %]]/100</f>
        <v>0</v>
      </c>
      <c r="Z14" s="1">
        <f>urbanthreads_q4[[#This Row],[Total]]-urbanthreads_q4[[#This Row],[Disc %]]</f>
        <v>2499</v>
      </c>
      <c r="AA14" s="1">
        <f>urbanthreads_q4[[#This Row],[Net revenue]]/urbanthreads_q4[[#This Row],[Total]]</f>
        <v>1</v>
      </c>
      <c r="AB14" s="1" t="str">
        <f>TEXT(urbanthreads_q4[[#This Row],[Order Date]],"mm-yyyy")</f>
        <v>10-2024</v>
      </c>
      <c r="AC14" s="1" t="str">
        <f>YEAR(urbanthreads_q4[[#This Row],[Order Date]]) &amp; "-W" &amp; WEEKNUM(urbanthreads_q4[[#This Row],[Order Date]], 2)</f>
        <v>2024-W40</v>
      </c>
      <c r="AD14" s="1" t="str">
        <f>IF(urbanthreads_q4[[#This Row],[Payment]]="COD","COD","Prepaid")</f>
        <v>Prepaid</v>
      </c>
    </row>
    <row r="15" spans="1:30" x14ac:dyDescent="0.3">
      <c r="A15" s="1" t="s">
        <v>1365</v>
      </c>
      <c r="B15" s="2">
        <v>45650</v>
      </c>
      <c r="C15" s="1" t="s">
        <v>1366</v>
      </c>
      <c r="D15" s="1" t="s">
        <v>25</v>
      </c>
      <c r="E15" s="1" t="s">
        <v>1367</v>
      </c>
      <c r="F15" s="1" t="s">
        <v>62</v>
      </c>
      <c r="G15" s="1" t="s">
        <v>1368</v>
      </c>
      <c r="H15">
        <v>6499</v>
      </c>
      <c r="I15">
        <v>1</v>
      </c>
      <c r="J15">
        <v>6499</v>
      </c>
      <c r="K15" s="1" t="s">
        <v>29</v>
      </c>
      <c r="L15">
        <v>0</v>
      </c>
      <c r="M15" s="1" t="s">
        <v>56</v>
      </c>
      <c r="N15" s="1" t="s">
        <v>66</v>
      </c>
      <c r="O15" s="1" t="s">
        <v>138</v>
      </c>
      <c r="P15" s="1" t="s">
        <v>114</v>
      </c>
      <c r="Q15" s="1" t="s">
        <v>46</v>
      </c>
      <c r="R15" s="2">
        <v>45674</v>
      </c>
      <c r="S15" s="1" t="s">
        <v>34</v>
      </c>
      <c r="T15" s="1" t="s">
        <v>47</v>
      </c>
      <c r="U15" s="1" t="s">
        <v>80</v>
      </c>
      <c r="V15" s="2">
        <v>45702</v>
      </c>
      <c r="W15" s="1" t="s">
        <v>49</v>
      </c>
      <c r="X15" s="1" t="str">
        <f>IF(urbanthreads_q4[[#This Row],[Qty]]&gt;0,"Valid","Invalid")</f>
        <v>Valid</v>
      </c>
      <c r="Y15" s="1">
        <f>urbanthreads_q4[[#This Row],[Total]]*urbanthreads_q4[[#This Row],[Disc %]]/100</f>
        <v>0</v>
      </c>
      <c r="Z15" s="1">
        <f>urbanthreads_q4[[#This Row],[Total]]-urbanthreads_q4[[#This Row],[Disc %]]</f>
        <v>6499</v>
      </c>
      <c r="AA15" s="1">
        <f>urbanthreads_q4[[#This Row],[Net revenue]]/urbanthreads_q4[[#This Row],[Total]]</f>
        <v>1</v>
      </c>
      <c r="AB15" s="1" t="str">
        <f>TEXT(urbanthreads_q4[[#This Row],[Order Date]],"mm-yyyy")</f>
        <v>12-2024</v>
      </c>
      <c r="AC15" s="1" t="str">
        <f>YEAR(urbanthreads_q4[[#This Row],[Order Date]]) &amp; "-W" &amp; WEEKNUM(urbanthreads_q4[[#This Row],[Order Date]], 2)</f>
        <v>2024-W52</v>
      </c>
      <c r="AD15" s="1" t="str">
        <f>IF(urbanthreads_q4[[#This Row],[Payment]]="COD","COD","Prepaid")</f>
        <v>COD</v>
      </c>
    </row>
    <row r="16" spans="1:30" x14ac:dyDescent="0.3">
      <c r="A16" s="1" t="s">
        <v>130</v>
      </c>
      <c r="B16" s="2">
        <v>45568</v>
      </c>
      <c r="C16" s="1" t="s">
        <v>131</v>
      </c>
      <c r="D16" s="1" t="s">
        <v>25</v>
      </c>
      <c r="E16" s="1" t="s">
        <v>132</v>
      </c>
      <c r="F16" s="1" t="s">
        <v>62</v>
      </c>
      <c r="G16" s="1" t="s">
        <v>133</v>
      </c>
      <c r="H16">
        <v>2799</v>
      </c>
      <c r="I16">
        <v>1</v>
      </c>
      <c r="J16">
        <v>2799</v>
      </c>
      <c r="K16" s="1" t="s">
        <v>29</v>
      </c>
      <c r="L16">
        <v>0</v>
      </c>
      <c r="M16" s="1" t="s">
        <v>65</v>
      </c>
      <c r="N16" s="1" t="s">
        <v>45</v>
      </c>
      <c r="O16" s="1" t="s">
        <v>57</v>
      </c>
      <c r="P16" s="1" t="s">
        <v>58</v>
      </c>
      <c r="Q16" s="1" t="s">
        <v>57</v>
      </c>
      <c r="R16" s="2">
        <v>45577</v>
      </c>
      <c r="S16" s="1" t="s">
        <v>34</v>
      </c>
      <c r="T16" s="1" t="s">
        <v>35</v>
      </c>
      <c r="U16" s="1" t="s">
        <v>29</v>
      </c>
      <c r="W16" s="1" t="s">
        <v>36</v>
      </c>
      <c r="X16" s="1" t="str">
        <f>IF(urbanthreads_q4[[#This Row],[Qty]]&gt;0,"Valid","Invalid")</f>
        <v>Valid</v>
      </c>
      <c r="Y16" s="1">
        <f>urbanthreads_q4[[#This Row],[Total]]*urbanthreads_q4[[#This Row],[Disc %]]/100</f>
        <v>0</v>
      </c>
      <c r="Z16" s="1">
        <f>urbanthreads_q4[[#This Row],[Total]]-urbanthreads_q4[[#This Row],[Disc %]]</f>
        <v>2799</v>
      </c>
      <c r="AA16" s="1">
        <f>urbanthreads_q4[[#This Row],[Net revenue]]/urbanthreads_q4[[#This Row],[Total]]</f>
        <v>1</v>
      </c>
      <c r="AB16" s="1" t="str">
        <f>TEXT(urbanthreads_q4[[#This Row],[Order Date]],"mm-yyyy")</f>
        <v>10-2024</v>
      </c>
      <c r="AC16" s="1" t="str">
        <f>YEAR(urbanthreads_q4[[#This Row],[Order Date]]) &amp; "-W" &amp; WEEKNUM(urbanthreads_q4[[#This Row],[Order Date]], 2)</f>
        <v>2024-W40</v>
      </c>
      <c r="AD16" s="1" t="str">
        <f>IF(urbanthreads_q4[[#This Row],[Payment]]="COD","COD","Prepaid")</f>
        <v>Prepaid</v>
      </c>
    </row>
    <row r="17" spans="1:30" x14ac:dyDescent="0.3">
      <c r="A17" s="1" t="s">
        <v>1373</v>
      </c>
      <c r="B17" s="2">
        <v>45650</v>
      </c>
      <c r="C17" s="1" t="s">
        <v>1374</v>
      </c>
      <c r="D17" s="1" t="s">
        <v>25</v>
      </c>
      <c r="E17" s="1" t="s">
        <v>1375</v>
      </c>
      <c r="F17" s="1" t="s">
        <v>27</v>
      </c>
      <c r="G17" s="1" t="s">
        <v>1376</v>
      </c>
      <c r="H17">
        <v>1799</v>
      </c>
      <c r="I17">
        <v>1</v>
      </c>
      <c r="J17">
        <v>1799</v>
      </c>
      <c r="K17" s="1" t="s">
        <v>29</v>
      </c>
      <c r="L17">
        <v>0</v>
      </c>
      <c r="M17" s="1" t="s">
        <v>65</v>
      </c>
      <c r="N17" s="1" t="s">
        <v>45</v>
      </c>
      <c r="O17" s="1" t="s">
        <v>150</v>
      </c>
      <c r="P17" s="1" t="s">
        <v>151</v>
      </c>
      <c r="Q17" s="1" t="s">
        <v>32</v>
      </c>
      <c r="R17" s="2">
        <v>45674</v>
      </c>
      <c r="S17" s="1" t="s">
        <v>34</v>
      </c>
      <c r="T17" s="1" t="s">
        <v>47</v>
      </c>
      <c r="U17" s="1" t="s">
        <v>69</v>
      </c>
      <c r="V17" s="2">
        <v>45701</v>
      </c>
      <c r="W17" s="1" t="s">
        <v>49</v>
      </c>
      <c r="X17" s="1" t="str">
        <f>IF(urbanthreads_q4[[#This Row],[Qty]]&gt;0,"Valid","Invalid")</f>
        <v>Valid</v>
      </c>
      <c r="Y17" s="1">
        <f>urbanthreads_q4[[#This Row],[Total]]*urbanthreads_q4[[#This Row],[Disc %]]/100</f>
        <v>0</v>
      </c>
      <c r="Z17" s="1">
        <f>urbanthreads_q4[[#This Row],[Total]]-urbanthreads_q4[[#This Row],[Disc %]]</f>
        <v>1799</v>
      </c>
      <c r="AA17" s="1">
        <f>urbanthreads_q4[[#This Row],[Net revenue]]/urbanthreads_q4[[#This Row],[Total]]</f>
        <v>1</v>
      </c>
      <c r="AB17" s="1" t="str">
        <f>TEXT(urbanthreads_q4[[#This Row],[Order Date]],"mm-yyyy")</f>
        <v>12-2024</v>
      </c>
      <c r="AC17" s="1" t="str">
        <f>YEAR(urbanthreads_q4[[#This Row],[Order Date]]) &amp; "-W" &amp; WEEKNUM(urbanthreads_q4[[#This Row],[Order Date]], 2)</f>
        <v>2024-W52</v>
      </c>
      <c r="AD17" s="1" t="str">
        <f>IF(urbanthreads_q4[[#This Row],[Payment]]="COD","COD","Prepaid")</f>
        <v>Prepaid</v>
      </c>
    </row>
    <row r="18" spans="1:30" x14ac:dyDescent="0.3">
      <c r="A18" s="1" t="s">
        <v>140</v>
      </c>
      <c r="B18" s="2">
        <v>45569</v>
      </c>
      <c r="C18" s="1" t="s">
        <v>141</v>
      </c>
      <c r="D18" s="1" t="s">
        <v>25</v>
      </c>
      <c r="E18" s="1" t="s">
        <v>142</v>
      </c>
      <c r="F18" s="1" t="s">
        <v>27</v>
      </c>
      <c r="G18" s="1" t="s">
        <v>143</v>
      </c>
      <c r="H18">
        <v>999</v>
      </c>
      <c r="I18">
        <v>1</v>
      </c>
      <c r="J18">
        <v>999</v>
      </c>
      <c r="K18" s="1" t="s">
        <v>64</v>
      </c>
      <c r="L18">
        <v>15</v>
      </c>
      <c r="M18" s="1" t="s">
        <v>30</v>
      </c>
      <c r="N18" s="1" t="s">
        <v>45</v>
      </c>
      <c r="O18" s="1" t="s">
        <v>144</v>
      </c>
      <c r="P18" s="1" t="s">
        <v>145</v>
      </c>
      <c r="Q18" s="1" t="s">
        <v>46</v>
      </c>
      <c r="R18" s="2">
        <v>45577</v>
      </c>
      <c r="S18" s="1" t="s">
        <v>34</v>
      </c>
      <c r="T18" s="1" t="s">
        <v>35</v>
      </c>
      <c r="U18" s="1" t="s">
        <v>29</v>
      </c>
      <c r="W18" s="1" t="s">
        <v>36</v>
      </c>
      <c r="X18" s="1" t="str">
        <f>IF(urbanthreads_q4[[#This Row],[Qty]]&gt;0,"Valid","Invalid")</f>
        <v>Valid</v>
      </c>
      <c r="Y18" s="1">
        <f>urbanthreads_q4[[#This Row],[Total]]*urbanthreads_q4[[#This Row],[Disc %]]/100</f>
        <v>149.85</v>
      </c>
      <c r="Z18" s="1">
        <f>urbanthreads_q4[[#This Row],[Total]]-urbanthreads_q4[[#This Row],[Disc %]]</f>
        <v>984</v>
      </c>
      <c r="AA18" s="1">
        <f>urbanthreads_q4[[#This Row],[Net revenue]]/urbanthreads_q4[[#This Row],[Total]]</f>
        <v>0.98498498498498499</v>
      </c>
      <c r="AB18" s="1" t="str">
        <f>TEXT(urbanthreads_q4[[#This Row],[Order Date]],"mm-yyyy")</f>
        <v>10-2024</v>
      </c>
      <c r="AC18" s="1" t="str">
        <f>YEAR(urbanthreads_q4[[#This Row],[Order Date]]) &amp; "-W" &amp; WEEKNUM(urbanthreads_q4[[#This Row],[Order Date]], 2)</f>
        <v>2024-W40</v>
      </c>
      <c r="AD18" s="1" t="str">
        <f>IF(urbanthreads_q4[[#This Row],[Payment]]="COD","COD","Prepaid")</f>
        <v>Prepaid</v>
      </c>
    </row>
    <row r="19" spans="1:30" x14ac:dyDescent="0.3">
      <c r="A19" s="1" t="s">
        <v>146</v>
      </c>
      <c r="B19" s="2">
        <v>45569</v>
      </c>
      <c r="C19" s="1" t="s">
        <v>147</v>
      </c>
      <c r="D19" s="1" t="s">
        <v>25</v>
      </c>
      <c r="E19" s="1" t="s">
        <v>148</v>
      </c>
      <c r="F19" s="1" t="s">
        <v>41</v>
      </c>
      <c r="G19" s="1" t="s">
        <v>149</v>
      </c>
      <c r="H19">
        <v>2899</v>
      </c>
      <c r="I19">
        <v>1</v>
      </c>
      <c r="J19">
        <v>2899</v>
      </c>
      <c r="K19" s="1" t="s">
        <v>29</v>
      </c>
      <c r="L19">
        <v>0</v>
      </c>
      <c r="M19" s="1" t="s">
        <v>44</v>
      </c>
      <c r="N19" s="1" t="s">
        <v>31</v>
      </c>
      <c r="O19" s="1" t="s">
        <v>150</v>
      </c>
      <c r="P19" s="1" t="s">
        <v>151</v>
      </c>
      <c r="Q19" s="1" t="s">
        <v>32</v>
      </c>
      <c r="R19" s="2">
        <v>45579</v>
      </c>
      <c r="S19" s="1" t="s">
        <v>34</v>
      </c>
      <c r="T19" s="1" t="s">
        <v>35</v>
      </c>
      <c r="U19" s="1" t="s">
        <v>29</v>
      </c>
      <c r="W19" s="1" t="s">
        <v>36</v>
      </c>
      <c r="X19" s="1" t="str">
        <f>IF(urbanthreads_q4[[#This Row],[Qty]]&gt;0,"Valid","Invalid")</f>
        <v>Valid</v>
      </c>
      <c r="Y19" s="1">
        <f>urbanthreads_q4[[#This Row],[Total]]*urbanthreads_q4[[#This Row],[Disc %]]/100</f>
        <v>0</v>
      </c>
      <c r="Z19" s="1">
        <f>urbanthreads_q4[[#This Row],[Total]]-urbanthreads_q4[[#This Row],[Disc %]]</f>
        <v>2899</v>
      </c>
      <c r="AA19" s="1">
        <f>urbanthreads_q4[[#This Row],[Net revenue]]/urbanthreads_q4[[#This Row],[Total]]</f>
        <v>1</v>
      </c>
      <c r="AB19" s="1" t="str">
        <f>TEXT(urbanthreads_q4[[#This Row],[Order Date]],"mm-yyyy")</f>
        <v>10-2024</v>
      </c>
      <c r="AC19" s="1" t="str">
        <f>YEAR(urbanthreads_q4[[#This Row],[Order Date]]) &amp; "-W" &amp; WEEKNUM(urbanthreads_q4[[#This Row],[Order Date]], 2)</f>
        <v>2024-W40</v>
      </c>
      <c r="AD19" s="1" t="str">
        <f>IF(urbanthreads_q4[[#This Row],[Payment]]="COD","COD","Prepaid")</f>
        <v>Prepaid</v>
      </c>
    </row>
    <row r="20" spans="1:30" x14ac:dyDescent="0.3">
      <c r="A20" s="1" t="s">
        <v>1377</v>
      </c>
      <c r="B20" s="2">
        <v>45650</v>
      </c>
      <c r="C20" s="1" t="s">
        <v>1378</v>
      </c>
      <c r="D20" s="1" t="s">
        <v>25</v>
      </c>
      <c r="E20" s="1" t="s">
        <v>1379</v>
      </c>
      <c r="F20" s="1" t="s">
        <v>41</v>
      </c>
      <c r="G20" s="1" t="s">
        <v>1380</v>
      </c>
      <c r="H20">
        <v>4299</v>
      </c>
      <c r="I20">
        <v>1</v>
      </c>
      <c r="J20">
        <v>4299</v>
      </c>
      <c r="K20" s="1" t="s">
        <v>29</v>
      </c>
      <c r="L20">
        <v>0</v>
      </c>
      <c r="M20" s="1" t="s">
        <v>44</v>
      </c>
      <c r="N20" s="1" t="s">
        <v>66</v>
      </c>
      <c r="O20" s="1" t="s">
        <v>156</v>
      </c>
      <c r="P20" s="1" t="s">
        <v>98</v>
      </c>
      <c r="Q20" s="1" t="s">
        <v>32</v>
      </c>
      <c r="R20" s="2">
        <v>45675</v>
      </c>
      <c r="S20" s="1" t="s">
        <v>34</v>
      </c>
      <c r="T20" s="1" t="s">
        <v>47</v>
      </c>
      <c r="U20" s="1" t="s">
        <v>48</v>
      </c>
      <c r="V20" s="2">
        <v>45703</v>
      </c>
      <c r="W20" s="1" t="s">
        <v>49</v>
      </c>
      <c r="X20" s="1" t="str">
        <f>IF(urbanthreads_q4[[#This Row],[Qty]]&gt;0,"Valid","Invalid")</f>
        <v>Valid</v>
      </c>
      <c r="Y20" s="1">
        <f>urbanthreads_q4[[#This Row],[Total]]*urbanthreads_q4[[#This Row],[Disc %]]/100</f>
        <v>0</v>
      </c>
      <c r="Z20" s="1">
        <f>urbanthreads_q4[[#This Row],[Total]]-urbanthreads_q4[[#This Row],[Disc %]]</f>
        <v>4299</v>
      </c>
      <c r="AA20" s="1">
        <f>urbanthreads_q4[[#This Row],[Net revenue]]/urbanthreads_q4[[#This Row],[Total]]</f>
        <v>1</v>
      </c>
      <c r="AB20" s="1" t="str">
        <f>TEXT(urbanthreads_q4[[#This Row],[Order Date]],"mm-yyyy")</f>
        <v>12-2024</v>
      </c>
      <c r="AC20" s="1" t="str">
        <f>YEAR(urbanthreads_q4[[#This Row],[Order Date]]) &amp; "-W" &amp; WEEKNUM(urbanthreads_q4[[#This Row],[Order Date]], 2)</f>
        <v>2024-W52</v>
      </c>
      <c r="AD20" s="1" t="str">
        <f>IF(urbanthreads_q4[[#This Row],[Payment]]="COD","COD","Prepaid")</f>
        <v>Prepaid</v>
      </c>
    </row>
    <row r="21" spans="1:30" x14ac:dyDescent="0.3">
      <c r="A21" s="1" t="s">
        <v>157</v>
      </c>
      <c r="B21" s="2">
        <v>45570</v>
      </c>
      <c r="C21" s="1" t="s">
        <v>158</v>
      </c>
      <c r="D21" s="1" t="s">
        <v>25</v>
      </c>
      <c r="E21" s="1" t="s">
        <v>159</v>
      </c>
      <c r="F21" s="1" t="s">
        <v>62</v>
      </c>
      <c r="G21" s="1" t="s">
        <v>160</v>
      </c>
      <c r="H21">
        <v>3999</v>
      </c>
      <c r="I21">
        <v>1</v>
      </c>
      <c r="J21">
        <v>3999</v>
      </c>
      <c r="K21" s="1" t="s">
        <v>43</v>
      </c>
      <c r="L21">
        <v>20</v>
      </c>
      <c r="M21" s="1" t="s">
        <v>56</v>
      </c>
      <c r="N21" s="1" t="s">
        <v>31</v>
      </c>
      <c r="O21" s="1" t="s">
        <v>161</v>
      </c>
      <c r="P21" s="1" t="s">
        <v>162</v>
      </c>
      <c r="Q21" s="1" t="s">
        <v>46</v>
      </c>
      <c r="S21" s="1" t="s">
        <v>121</v>
      </c>
      <c r="T21" s="1" t="s">
        <v>35</v>
      </c>
      <c r="U21" s="1" t="s">
        <v>29</v>
      </c>
      <c r="W21" s="1" t="s">
        <v>36</v>
      </c>
      <c r="X21" s="1" t="str">
        <f>IF(urbanthreads_q4[[#This Row],[Qty]]&gt;0,"Valid","Invalid")</f>
        <v>Valid</v>
      </c>
      <c r="Y21" s="1">
        <f>urbanthreads_q4[[#This Row],[Total]]*urbanthreads_q4[[#This Row],[Disc %]]/100</f>
        <v>799.8</v>
      </c>
      <c r="Z21" s="1">
        <f>urbanthreads_q4[[#This Row],[Total]]-urbanthreads_q4[[#This Row],[Disc %]]</f>
        <v>3979</v>
      </c>
      <c r="AA21" s="1">
        <f>urbanthreads_q4[[#This Row],[Net revenue]]/urbanthreads_q4[[#This Row],[Total]]</f>
        <v>0.99499874968742186</v>
      </c>
      <c r="AB21" s="1" t="str">
        <f>TEXT(urbanthreads_q4[[#This Row],[Order Date]],"mm-yyyy")</f>
        <v>10-2024</v>
      </c>
      <c r="AC21" s="1" t="str">
        <f>YEAR(urbanthreads_q4[[#This Row],[Order Date]]) &amp; "-W" &amp; WEEKNUM(urbanthreads_q4[[#This Row],[Order Date]], 2)</f>
        <v>2024-W40</v>
      </c>
      <c r="AD21" s="1" t="str">
        <f>IF(urbanthreads_q4[[#This Row],[Payment]]="COD","COD","Prepaid")</f>
        <v>COD</v>
      </c>
    </row>
    <row r="22" spans="1:30" x14ac:dyDescent="0.3">
      <c r="A22" s="1" t="s">
        <v>163</v>
      </c>
      <c r="B22" s="2">
        <v>45570</v>
      </c>
      <c r="C22" s="1" t="s">
        <v>164</v>
      </c>
      <c r="D22" s="1" t="s">
        <v>25</v>
      </c>
      <c r="E22" s="1" t="s">
        <v>165</v>
      </c>
      <c r="F22" s="1" t="s">
        <v>27</v>
      </c>
      <c r="G22" s="1" t="s">
        <v>166</v>
      </c>
      <c r="H22">
        <v>1699</v>
      </c>
      <c r="I22">
        <v>1</v>
      </c>
      <c r="J22">
        <v>1699</v>
      </c>
      <c r="K22" s="1" t="s">
        <v>29</v>
      </c>
      <c r="L22">
        <v>0</v>
      </c>
      <c r="M22" s="1" t="s">
        <v>30</v>
      </c>
      <c r="N22" s="1" t="s">
        <v>45</v>
      </c>
      <c r="O22" s="1" t="s">
        <v>167</v>
      </c>
      <c r="P22" s="1" t="s">
        <v>151</v>
      </c>
      <c r="Q22" s="1" t="s">
        <v>32</v>
      </c>
      <c r="R22" s="2">
        <v>45580</v>
      </c>
      <c r="S22" s="1" t="s">
        <v>34</v>
      </c>
      <c r="T22" s="1" t="s">
        <v>35</v>
      </c>
      <c r="U22" s="1" t="s">
        <v>29</v>
      </c>
      <c r="W22" s="1" t="s">
        <v>36</v>
      </c>
      <c r="X22" s="1" t="str">
        <f>IF(urbanthreads_q4[[#This Row],[Qty]]&gt;0,"Valid","Invalid")</f>
        <v>Valid</v>
      </c>
      <c r="Y22" s="1">
        <f>urbanthreads_q4[[#This Row],[Total]]*urbanthreads_q4[[#This Row],[Disc %]]/100</f>
        <v>0</v>
      </c>
      <c r="Z22" s="1">
        <f>urbanthreads_q4[[#This Row],[Total]]-urbanthreads_q4[[#This Row],[Disc %]]</f>
        <v>1699</v>
      </c>
      <c r="AA22" s="1">
        <f>urbanthreads_q4[[#This Row],[Net revenue]]/urbanthreads_q4[[#This Row],[Total]]</f>
        <v>1</v>
      </c>
      <c r="AB22" s="1" t="str">
        <f>TEXT(urbanthreads_q4[[#This Row],[Order Date]],"mm-yyyy")</f>
        <v>10-2024</v>
      </c>
      <c r="AC22" s="1" t="str">
        <f>YEAR(urbanthreads_q4[[#This Row],[Order Date]]) &amp; "-W" &amp; WEEKNUM(urbanthreads_q4[[#This Row],[Order Date]], 2)</f>
        <v>2024-W40</v>
      </c>
      <c r="AD22" s="1" t="str">
        <f>IF(urbanthreads_q4[[#This Row],[Payment]]="COD","COD","Prepaid")</f>
        <v>Prepaid</v>
      </c>
    </row>
    <row r="23" spans="1:30" x14ac:dyDescent="0.3">
      <c r="A23" s="1" t="s">
        <v>1385</v>
      </c>
      <c r="B23" s="2">
        <v>45651</v>
      </c>
      <c r="C23" s="1" t="s">
        <v>1386</v>
      </c>
      <c r="D23" s="1" t="s">
        <v>25</v>
      </c>
      <c r="E23" s="1" t="s">
        <v>1387</v>
      </c>
      <c r="F23" s="1" t="s">
        <v>62</v>
      </c>
      <c r="G23" s="1" t="s">
        <v>1388</v>
      </c>
      <c r="H23">
        <v>4999</v>
      </c>
      <c r="I23">
        <v>1</v>
      </c>
      <c r="J23">
        <v>4999</v>
      </c>
      <c r="K23" s="1" t="s">
        <v>29</v>
      </c>
      <c r="L23">
        <v>0</v>
      </c>
      <c r="M23" s="1" t="s">
        <v>56</v>
      </c>
      <c r="N23" s="1" t="s">
        <v>45</v>
      </c>
      <c r="O23" s="1" t="s">
        <v>167</v>
      </c>
      <c r="P23" s="1" t="s">
        <v>151</v>
      </c>
      <c r="Q23" s="1" t="s">
        <v>32</v>
      </c>
      <c r="R23" s="2">
        <v>45676</v>
      </c>
      <c r="S23" s="1" t="s">
        <v>34</v>
      </c>
      <c r="T23" s="1" t="s">
        <v>47</v>
      </c>
      <c r="U23" s="1" t="s">
        <v>105</v>
      </c>
      <c r="V23" s="2">
        <v>45704</v>
      </c>
      <c r="W23" s="1" t="s">
        <v>49</v>
      </c>
      <c r="X23" s="1" t="str">
        <f>IF(urbanthreads_q4[[#This Row],[Qty]]&gt;0,"Valid","Invalid")</f>
        <v>Valid</v>
      </c>
      <c r="Y23" s="1">
        <f>urbanthreads_q4[[#This Row],[Total]]*urbanthreads_q4[[#This Row],[Disc %]]/100</f>
        <v>0</v>
      </c>
      <c r="Z23" s="1">
        <f>urbanthreads_q4[[#This Row],[Total]]-urbanthreads_q4[[#This Row],[Disc %]]</f>
        <v>4999</v>
      </c>
      <c r="AA23" s="1">
        <f>urbanthreads_q4[[#This Row],[Net revenue]]/urbanthreads_q4[[#This Row],[Total]]</f>
        <v>1</v>
      </c>
      <c r="AB23" s="1" t="str">
        <f>TEXT(urbanthreads_q4[[#This Row],[Order Date]],"mm-yyyy")</f>
        <v>12-2024</v>
      </c>
      <c r="AC23" s="1" t="str">
        <f>YEAR(urbanthreads_q4[[#This Row],[Order Date]]) &amp; "-W" &amp; WEEKNUM(urbanthreads_q4[[#This Row],[Order Date]], 2)</f>
        <v>2024-W52</v>
      </c>
      <c r="AD23" s="1" t="str">
        <f>IF(urbanthreads_q4[[#This Row],[Payment]]="COD","COD","Prepaid")</f>
        <v>COD</v>
      </c>
    </row>
    <row r="24" spans="1:30" x14ac:dyDescent="0.3">
      <c r="A24" s="1" t="s">
        <v>173</v>
      </c>
      <c r="B24" s="2">
        <v>45570</v>
      </c>
      <c r="C24" s="1" t="s">
        <v>174</v>
      </c>
      <c r="D24" s="1" t="s">
        <v>25</v>
      </c>
      <c r="E24" s="1" t="s">
        <v>175</v>
      </c>
      <c r="F24" s="1" t="s">
        <v>72</v>
      </c>
      <c r="G24" s="1" t="s">
        <v>176</v>
      </c>
      <c r="H24">
        <v>899</v>
      </c>
      <c r="I24">
        <v>1</v>
      </c>
      <c r="J24">
        <v>899</v>
      </c>
      <c r="K24" s="1" t="s">
        <v>111</v>
      </c>
      <c r="L24">
        <v>10</v>
      </c>
      <c r="M24" s="1" t="s">
        <v>65</v>
      </c>
      <c r="N24" s="1" t="s">
        <v>45</v>
      </c>
      <c r="O24" s="1" t="s">
        <v>177</v>
      </c>
      <c r="P24" s="1" t="s">
        <v>68</v>
      </c>
      <c r="Q24" s="1" t="s">
        <v>57</v>
      </c>
      <c r="R24" s="2">
        <v>45582</v>
      </c>
      <c r="S24" s="1" t="s">
        <v>34</v>
      </c>
      <c r="T24" s="1" t="s">
        <v>35</v>
      </c>
      <c r="U24" s="1" t="s">
        <v>29</v>
      </c>
      <c r="W24" s="1" t="s">
        <v>36</v>
      </c>
      <c r="X24" s="1" t="str">
        <f>IF(urbanthreads_q4[[#This Row],[Qty]]&gt;0,"Valid","Invalid")</f>
        <v>Valid</v>
      </c>
      <c r="Y24" s="1">
        <f>urbanthreads_q4[[#This Row],[Total]]*urbanthreads_q4[[#This Row],[Disc %]]/100</f>
        <v>89.9</v>
      </c>
      <c r="Z24" s="1">
        <f>urbanthreads_q4[[#This Row],[Total]]-urbanthreads_q4[[#This Row],[Disc %]]</f>
        <v>889</v>
      </c>
      <c r="AA24" s="1">
        <f>urbanthreads_q4[[#This Row],[Net revenue]]/urbanthreads_q4[[#This Row],[Total]]</f>
        <v>0.98887652947719684</v>
      </c>
      <c r="AB24" s="1" t="str">
        <f>TEXT(urbanthreads_q4[[#This Row],[Order Date]],"mm-yyyy")</f>
        <v>10-2024</v>
      </c>
      <c r="AC24" s="1" t="str">
        <f>YEAR(urbanthreads_q4[[#This Row],[Order Date]]) &amp; "-W" &amp; WEEKNUM(urbanthreads_q4[[#This Row],[Order Date]], 2)</f>
        <v>2024-W40</v>
      </c>
      <c r="AD24" s="1" t="str">
        <f>IF(urbanthreads_q4[[#This Row],[Payment]]="COD","COD","Prepaid")</f>
        <v>Prepaid</v>
      </c>
    </row>
    <row r="25" spans="1:30" x14ac:dyDescent="0.3">
      <c r="A25" s="1" t="s">
        <v>1393</v>
      </c>
      <c r="B25" s="2">
        <v>45651</v>
      </c>
      <c r="C25" s="1" t="s">
        <v>1394</v>
      </c>
      <c r="D25" s="1" t="s">
        <v>25</v>
      </c>
      <c r="E25" s="1" t="s">
        <v>1395</v>
      </c>
      <c r="F25" s="1" t="s">
        <v>27</v>
      </c>
      <c r="G25" s="1" t="s">
        <v>1396</v>
      </c>
      <c r="H25">
        <v>2099</v>
      </c>
      <c r="I25">
        <v>1</v>
      </c>
      <c r="J25">
        <v>2099</v>
      </c>
      <c r="K25" s="1" t="s">
        <v>995</v>
      </c>
      <c r="L25">
        <v>20</v>
      </c>
      <c r="M25" s="1" t="s">
        <v>65</v>
      </c>
      <c r="N25" s="1" t="s">
        <v>31</v>
      </c>
      <c r="O25" s="1" t="s">
        <v>177</v>
      </c>
      <c r="P25" s="1" t="s">
        <v>68</v>
      </c>
      <c r="Q25" s="1" t="s">
        <v>57</v>
      </c>
      <c r="R25" s="2">
        <v>45676</v>
      </c>
      <c r="S25" s="1" t="s">
        <v>34</v>
      </c>
      <c r="T25" s="1" t="s">
        <v>47</v>
      </c>
      <c r="U25" s="1" t="s">
        <v>139</v>
      </c>
      <c r="V25" s="2">
        <v>45703</v>
      </c>
      <c r="W25" s="1" t="s">
        <v>49</v>
      </c>
      <c r="X25" s="1" t="str">
        <f>IF(urbanthreads_q4[[#This Row],[Qty]]&gt;0,"Valid","Invalid")</f>
        <v>Valid</v>
      </c>
      <c r="Y25" s="1">
        <f>urbanthreads_q4[[#This Row],[Total]]*urbanthreads_q4[[#This Row],[Disc %]]/100</f>
        <v>419.8</v>
      </c>
      <c r="Z25" s="1">
        <f>urbanthreads_q4[[#This Row],[Total]]-urbanthreads_q4[[#This Row],[Disc %]]</f>
        <v>2079</v>
      </c>
      <c r="AA25" s="1">
        <f>urbanthreads_q4[[#This Row],[Net revenue]]/urbanthreads_q4[[#This Row],[Total]]</f>
        <v>0.99047165316817531</v>
      </c>
      <c r="AB25" s="1" t="str">
        <f>TEXT(urbanthreads_q4[[#This Row],[Order Date]],"mm-yyyy")</f>
        <v>12-2024</v>
      </c>
      <c r="AC25" s="1" t="str">
        <f>YEAR(urbanthreads_q4[[#This Row],[Order Date]]) &amp; "-W" &amp; WEEKNUM(urbanthreads_q4[[#This Row],[Order Date]], 2)</f>
        <v>2024-W52</v>
      </c>
      <c r="AD25" s="1" t="str">
        <f>IF(urbanthreads_q4[[#This Row],[Payment]]="COD","COD","Prepaid")</f>
        <v>Prepaid</v>
      </c>
    </row>
    <row r="26" spans="1:30" x14ac:dyDescent="0.3">
      <c r="A26" s="1" t="s">
        <v>184</v>
      </c>
      <c r="B26" s="2">
        <v>45571</v>
      </c>
      <c r="C26" s="1" t="s">
        <v>185</v>
      </c>
      <c r="D26" s="1" t="s">
        <v>25</v>
      </c>
      <c r="E26" s="1" t="s">
        <v>186</v>
      </c>
      <c r="F26" s="1" t="s">
        <v>27</v>
      </c>
      <c r="G26" s="1" t="s">
        <v>187</v>
      </c>
      <c r="H26">
        <v>1799</v>
      </c>
      <c r="I26">
        <v>2</v>
      </c>
      <c r="J26">
        <v>3598</v>
      </c>
      <c r="K26" s="1" t="s">
        <v>29</v>
      </c>
      <c r="L26">
        <v>0</v>
      </c>
      <c r="M26" s="1" t="s">
        <v>30</v>
      </c>
      <c r="N26" s="1" t="s">
        <v>31</v>
      </c>
      <c r="O26" s="1" t="s">
        <v>188</v>
      </c>
      <c r="P26" s="1" t="s">
        <v>189</v>
      </c>
      <c r="Q26" s="1" t="s">
        <v>57</v>
      </c>
      <c r="R26" s="2">
        <v>45582</v>
      </c>
      <c r="S26" s="1" t="s">
        <v>34</v>
      </c>
      <c r="T26" s="1" t="s">
        <v>35</v>
      </c>
      <c r="U26" s="1" t="s">
        <v>29</v>
      </c>
      <c r="W26" s="1" t="s">
        <v>36</v>
      </c>
      <c r="X26" s="1" t="str">
        <f>IF(urbanthreads_q4[[#This Row],[Qty]]&gt;0,"Valid","Invalid")</f>
        <v>Valid</v>
      </c>
      <c r="Y26" s="1">
        <f>urbanthreads_q4[[#This Row],[Total]]*urbanthreads_q4[[#This Row],[Disc %]]/100</f>
        <v>0</v>
      </c>
      <c r="Z26" s="1">
        <f>urbanthreads_q4[[#This Row],[Total]]-urbanthreads_q4[[#This Row],[Disc %]]</f>
        <v>3598</v>
      </c>
      <c r="AA26" s="1">
        <f>urbanthreads_q4[[#This Row],[Net revenue]]/urbanthreads_q4[[#This Row],[Total]]</f>
        <v>1</v>
      </c>
      <c r="AB26" s="1" t="str">
        <f>TEXT(urbanthreads_q4[[#This Row],[Order Date]],"mm-yyyy")</f>
        <v>10-2024</v>
      </c>
      <c r="AC26" s="1" t="str">
        <f>YEAR(urbanthreads_q4[[#This Row],[Order Date]]) &amp; "-W" &amp; WEEKNUM(urbanthreads_q4[[#This Row],[Order Date]], 2)</f>
        <v>2024-W40</v>
      </c>
      <c r="AD26" s="1" t="str">
        <f>IF(urbanthreads_q4[[#This Row],[Payment]]="COD","COD","Prepaid")</f>
        <v>Prepaid</v>
      </c>
    </row>
    <row r="27" spans="1:30" x14ac:dyDescent="0.3">
      <c r="A27" s="1" t="s">
        <v>190</v>
      </c>
      <c r="B27" s="2">
        <v>45571</v>
      </c>
      <c r="C27" s="1" t="s">
        <v>191</v>
      </c>
      <c r="D27" s="1" t="s">
        <v>25</v>
      </c>
      <c r="E27" s="1" t="s">
        <v>192</v>
      </c>
      <c r="F27" s="1" t="s">
        <v>41</v>
      </c>
      <c r="G27" s="1" t="s">
        <v>193</v>
      </c>
      <c r="H27">
        <v>2699</v>
      </c>
      <c r="I27">
        <v>1</v>
      </c>
      <c r="J27">
        <v>2699</v>
      </c>
      <c r="K27" s="1" t="s">
        <v>29</v>
      </c>
      <c r="L27">
        <v>0</v>
      </c>
      <c r="M27" s="1" t="s">
        <v>44</v>
      </c>
      <c r="N27" s="1" t="s">
        <v>45</v>
      </c>
      <c r="O27" s="1" t="s">
        <v>194</v>
      </c>
      <c r="P27" s="1" t="s">
        <v>183</v>
      </c>
      <c r="Q27" s="1" t="s">
        <v>57</v>
      </c>
      <c r="R27" s="2">
        <v>45583</v>
      </c>
      <c r="S27" s="1" t="s">
        <v>34</v>
      </c>
      <c r="T27" s="1" t="s">
        <v>35</v>
      </c>
      <c r="U27" s="1" t="s">
        <v>29</v>
      </c>
      <c r="W27" s="1" t="s">
        <v>36</v>
      </c>
      <c r="X27" s="1" t="str">
        <f>IF(urbanthreads_q4[[#This Row],[Qty]]&gt;0,"Valid","Invalid")</f>
        <v>Valid</v>
      </c>
      <c r="Y27" s="1">
        <f>urbanthreads_q4[[#This Row],[Total]]*urbanthreads_q4[[#This Row],[Disc %]]/100</f>
        <v>0</v>
      </c>
      <c r="Z27" s="1">
        <f>urbanthreads_q4[[#This Row],[Total]]-urbanthreads_q4[[#This Row],[Disc %]]</f>
        <v>2699</v>
      </c>
      <c r="AA27" s="1">
        <f>urbanthreads_q4[[#This Row],[Net revenue]]/urbanthreads_q4[[#This Row],[Total]]</f>
        <v>1</v>
      </c>
      <c r="AB27" s="1" t="str">
        <f>TEXT(urbanthreads_q4[[#This Row],[Order Date]],"mm-yyyy")</f>
        <v>10-2024</v>
      </c>
      <c r="AC27" s="1" t="str">
        <f>YEAR(urbanthreads_q4[[#This Row],[Order Date]]) &amp; "-W" &amp; WEEKNUM(urbanthreads_q4[[#This Row],[Order Date]], 2)</f>
        <v>2024-W40</v>
      </c>
      <c r="AD27" s="1" t="str">
        <f>IF(urbanthreads_q4[[#This Row],[Payment]]="COD","COD","Prepaid")</f>
        <v>Prepaid</v>
      </c>
    </row>
    <row r="28" spans="1:30" x14ac:dyDescent="0.3">
      <c r="A28" s="1" t="s">
        <v>1397</v>
      </c>
      <c r="B28" s="2">
        <v>45652</v>
      </c>
      <c r="C28" s="1" t="s">
        <v>1398</v>
      </c>
      <c r="D28" s="1" t="s">
        <v>25</v>
      </c>
      <c r="E28" s="1" t="s">
        <v>1399</v>
      </c>
      <c r="F28" s="1" t="s">
        <v>41</v>
      </c>
      <c r="G28" s="1" t="s">
        <v>1400</v>
      </c>
      <c r="H28">
        <v>2999</v>
      </c>
      <c r="I28">
        <v>1</v>
      </c>
      <c r="J28">
        <v>2999</v>
      </c>
      <c r="K28" s="1" t="s">
        <v>29</v>
      </c>
      <c r="L28">
        <v>0</v>
      </c>
      <c r="M28" s="1" t="s">
        <v>44</v>
      </c>
      <c r="N28" s="1" t="s">
        <v>45</v>
      </c>
      <c r="O28" s="1" t="s">
        <v>182</v>
      </c>
      <c r="P28" s="1" t="s">
        <v>183</v>
      </c>
      <c r="Q28" s="1" t="s">
        <v>57</v>
      </c>
      <c r="R28" s="2">
        <v>45677</v>
      </c>
      <c r="S28" s="1" t="s">
        <v>34</v>
      </c>
      <c r="T28" s="1" t="s">
        <v>47</v>
      </c>
      <c r="U28" s="1" t="s">
        <v>48</v>
      </c>
      <c r="V28" s="2">
        <v>45705</v>
      </c>
      <c r="W28" s="1" t="s">
        <v>49</v>
      </c>
      <c r="X28" s="1" t="str">
        <f>IF(urbanthreads_q4[[#This Row],[Qty]]&gt;0,"Valid","Invalid")</f>
        <v>Valid</v>
      </c>
      <c r="Y28" s="1">
        <f>urbanthreads_q4[[#This Row],[Total]]*urbanthreads_q4[[#This Row],[Disc %]]/100</f>
        <v>0</v>
      </c>
      <c r="Z28" s="1">
        <f>urbanthreads_q4[[#This Row],[Total]]-urbanthreads_q4[[#This Row],[Disc %]]</f>
        <v>2999</v>
      </c>
      <c r="AA28" s="1">
        <f>urbanthreads_q4[[#This Row],[Net revenue]]/urbanthreads_q4[[#This Row],[Total]]</f>
        <v>1</v>
      </c>
      <c r="AB28" s="1" t="str">
        <f>TEXT(urbanthreads_q4[[#This Row],[Order Date]],"mm-yyyy")</f>
        <v>12-2024</v>
      </c>
      <c r="AC28" s="1" t="str">
        <f>YEAR(urbanthreads_q4[[#This Row],[Order Date]]) &amp; "-W" &amp; WEEKNUM(urbanthreads_q4[[#This Row],[Order Date]], 2)</f>
        <v>2024-W52</v>
      </c>
      <c r="AD28" s="1" t="str">
        <f>IF(urbanthreads_q4[[#This Row],[Payment]]="COD","COD","Prepaid")</f>
        <v>Prepaid</v>
      </c>
    </row>
    <row r="29" spans="1:30" x14ac:dyDescent="0.3">
      <c r="A29" s="1" t="s">
        <v>200</v>
      </c>
      <c r="B29" s="2">
        <v>45572</v>
      </c>
      <c r="C29" s="1" t="s">
        <v>201</v>
      </c>
      <c r="D29" s="1" t="s">
        <v>25</v>
      </c>
      <c r="E29" s="1" t="s">
        <v>202</v>
      </c>
      <c r="F29" s="1" t="s">
        <v>72</v>
      </c>
      <c r="G29" s="1" t="s">
        <v>203</v>
      </c>
      <c r="H29">
        <v>1099</v>
      </c>
      <c r="I29">
        <v>1</v>
      </c>
      <c r="J29">
        <v>1099</v>
      </c>
      <c r="K29" s="1" t="s">
        <v>29</v>
      </c>
      <c r="L29">
        <v>0</v>
      </c>
      <c r="M29" s="1" t="s">
        <v>30</v>
      </c>
      <c r="N29" s="1" t="s">
        <v>66</v>
      </c>
      <c r="O29" s="1" t="s">
        <v>204</v>
      </c>
      <c r="P29" s="1" t="s">
        <v>98</v>
      </c>
      <c r="Q29" s="1" t="s">
        <v>32</v>
      </c>
      <c r="R29" s="2">
        <v>45585</v>
      </c>
      <c r="S29" s="1" t="s">
        <v>34</v>
      </c>
      <c r="T29" s="1" t="s">
        <v>35</v>
      </c>
      <c r="U29" s="1" t="s">
        <v>29</v>
      </c>
      <c r="W29" s="1" t="s">
        <v>36</v>
      </c>
      <c r="X29" s="1" t="str">
        <f>IF(urbanthreads_q4[[#This Row],[Qty]]&gt;0,"Valid","Invalid")</f>
        <v>Valid</v>
      </c>
      <c r="Y29" s="1">
        <f>urbanthreads_q4[[#This Row],[Total]]*urbanthreads_q4[[#This Row],[Disc %]]/100</f>
        <v>0</v>
      </c>
      <c r="Z29" s="1">
        <f>urbanthreads_q4[[#This Row],[Total]]-urbanthreads_q4[[#This Row],[Disc %]]</f>
        <v>1099</v>
      </c>
      <c r="AA29" s="1">
        <f>urbanthreads_q4[[#This Row],[Net revenue]]/urbanthreads_q4[[#This Row],[Total]]</f>
        <v>1</v>
      </c>
      <c r="AB29" s="1" t="str">
        <f>TEXT(urbanthreads_q4[[#This Row],[Order Date]],"mm-yyyy")</f>
        <v>10-2024</v>
      </c>
      <c r="AC29" s="1" t="str">
        <f>YEAR(urbanthreads_q4[[#This Row],[Order Date]]) &amp; "-W" &amp; WEEKNUM(urbanthreads_q4[[#This Row],[Order Date]], 2)</f>
        <v>2024-W41</v>
      </c>
      <c r="AD29" s="1" t="str">
        <f>IF(urbanthreads_q4[[#This Row],[Payment]]="COD","COD","Prepaid")</f>
        <v>Prepaid</v>
      </c>
    </row>
    <row r="30" spans="1:30" x14ac:dyDescent="0.3">
      <c r="A30" s="1" t="s">
        <v>205</v>
      </c>
      <c r="B30" s="2">
        <v>45572</v>
      </c>
      <c r="C30" s="1" t="s">
        <v>206</v>
      </c>
      <c r="D30" s="1" t="s">
        <v>25</v>
      </c>
      <c r="E30" s="1" t="s">
        <v>207</v>
      </c>
      <c r="F30" s="1" t="s">
        <v>27</v>
      </c>
      <c r="G30" s="1" t="s">
        <v>208</v>
      </c>
      <c r="H30">
        <v>1899</v>
      </c>
      <c r="I30">
        <v>1</v>
      </c>
      <c r="J30">
        <v>1899</v>
      </c>
      <c r="K30" s="1" t="s">
        <v>29</v>
      </c>
      <c r="L30">
        <v>0</v>
      </c>
      <c r="M30" s="1" t="s">
        <v>56</v>
      </c>
      <c r="N30" s="1" t="s">
        <v>45</v>
      </c>
      <c r="O30" s="1" t="s">
        <v>209</v>
      </c>
      <c r="P30" s="1" t="s">
        <v>98</v>
      </c>
      <c r="Q30" s="1" t="s">
        <v>32</v>
      </c>
      <c r="S30" s="1" t="s">
        <v>121</v>
      </c>
      <c r="T30" s="1" t="s">
        <v>35</v>
      </c>
      <c r="U30" s="1" t="s">
        <v>29</v>
      </c>
      <c r="W30" s="1" t="s">
        <v>36</v>
      </c>
      <c r="X30" s="1" t="str">
        <f>IF(urbanthreads_q4[[#This Row],[Qty]]&gt;0,"Valid","Invalid")</f>
        <v>Valid</v>
      </c>
      <c r="Y30" s="1">
        <f>urbanthreads_q4[[#This Row],[Total]]*urbanthreads_q4[[#This Row],[Disc %]]/100</f>
        <v>0</v>
      </c>
      <c r="Z30" s="1">
        <f>urbanthreads_q4[[#This Row],[Total]]-urbanthreads_q4[[#This Row],[Disc %]]</f>
        <v>1899</v>
      </c>
      <c r="AA30" s="1">
        <f>urbanthreads_q4[[#This Row],[Net revenue]]/urbanthreads_q4[[#This Row],[Total]]</f>
        <v>1</v>
      </c>
      <c r="AB30" s="1" t="str">
        <f>TEXT(urbanthreads_q4[[#This Row],[Order Date]],"mm-yyyy")</f>
        <v>10-2024</v>
      </c>
      <c r="AC30" s="1" t="str">
        <f>YEAR(urbanthreads_q4[[#This Row],[Order Date]]) &amp; "-W" &amp; WEEKNUM(urbanthreads_q4[[#This Row],[Order Date]], 2)</f>
        <v>2024-W41</v>
      </c>
      <c r="AD30" s="1" t="str">
        <f>IF(urbanthreads_q4[[#This Row],[Payment]]="COD","COD","Prepaid")</f>
        <v>COD</v>
      </c>
    </row>
    <row r="31" spans="1:30" x14ac:dyDescent="0.3">
      <c r="A31" s="1" t="s">
        <v>210</v>
      </c>
      <c r="B31" s="2">
        <v>45572</v>
      </c>
      <c r="C31" s="1" t="s">
        <v>211</v>
      </c>
      <c r="D31" s="1" t="s">
        <v>25</v>
      </c>
      <c r="E31" s="1" t="s">
        <v>212</v>
      </c>
      <c r="F31" s="1" t="s">
        <v>54</v>
      </c>
      <c r="G31" s="1" t="s">
        <v>213</v>
      </c>
      <c r="H31">
        <v>2199</v>
      </c>
      <c r="I31">
        <v>1</v>
      </c>
      <c r="J31">
        <v>2199</v>
      </c>
      <c r="K31" s="1" t="s">
        <v>43</v>
      </c>
      <c r="L31">
        <v>20</v>
      </c>
      <c r="M31" s="1" t="s">
        <v>44</v>
      </c>
      <c r="N31" s="1" t="s">
        <v>31</v>
      </c>
      <c r="O31" s="1" t="s">
        <v>214</v>
      </c>
      <c r="P31" s="1" t="s">
        <v>114</v>
      </c>
      <c r="Q31" s="1" t="s">
        <v>46</v>
      </c>
      <c r="R31" s="2">
        <v>45585</v>
      </c>
      <c r="S31" s="1" t="s">
        <v>34</v>
      </c>
      <c r="T31" s="1" t="s">
        <v>35</v>
      </c>
      <c r="U31" s="1" t="s">
        <v>29</v>
      </c>
      <c r="W31" s="1" t="s">
        <v>36</v>
      </c>
      <c r="X31" s="1" t="str">
        <f>IF(urbanthreads_q4[[#This Row],[Qty]]&gt;0,"Valid","Invalid")</f>
        <v>Valid</v>
      </c>
      <c r="Y31" s="1">
        <f>urbanthreads_q4[[#This Row],[Total]]*urbanthreads_q4[[#This Row],[Disc %]]/100</f>
        <v>439.8</v>
      </c>
      <c r="Z31" s="1">
        <f>urbanthreads_q4[[#This Row],[Total]]-urbanthreads_q4[[#This Row],[Disc %]]</f>
        <v>2179</v>
      </c>
      <c r="AA31" s="1">
        <f>urbanthreads_q4[[#This Row],[Net revenue]]/urbanthreads_q4[[#This Row],[Total]]</f>
        <v>0.99090495679854484</v>
      </c>
      <c r="AB31" s="1" t="str">
        <f>TEXT(urbanthreads_q4[[#This Row],[Order Date]],"mm-yyyy")</f>
        <v>10-2024</v>
      </c>
      <c r="AC31" s="1" t="str">
        <f>YEAR(urbanthreads_q4[[#This Row],[Order Date]]) &amp; "-W" &amp; WEEKNUM(urbanthreads_q4[[#This Row],[Order Date]], 2)</f>
        <v>2024-W41</v>
      </c>
      <c r="AD31" s="1" t="str">
        <f>IF(urbanthreads_q4[[#This Row],[Payment]]="COD","COD","Prepaid")</f>
        <v>Prepaid</v>
      </c>
    </row>
    <row r="32" spans="1:30" x14ac:dyDescent="0.3">
      <c r="A32" s="1" t="s">
        <v>1405</v>
      </c>
      <c r="B32" s="2">
        <v>45652</v>
      </c>
      <c r="C32" s="1" t="s">
        <v>1406</v>
      </c>
      <c r="D32" s="1" t="s">
        <v>25</v>
      </c>
      <c r="E32" s="1" t="s">
        <v>1407</v>
      </c>
      <c r="F32" s="1" t="s">
        <v>62</v>
      </c>
      <c r="G32" s="1" t="s">
        <v>1408</v>
      </c>
      <c r="H32">
        <v>5999</v>
      </c>
      <c r="I32">
        <v>1</v>
      </c>
      <c r="J32">
        <v>5999</v>
      </c>
      <c r="K32" s="1" t="s">
        <v>995</v>
      </c>
      <c r="L32">
        <v>20</v>
      </c>
      <c r="M32" s="1" t="s">
        <v>56</v>
      </c>
      <c r="N32" s="1" t="s">
        <v>31</v>
      </c>
      <c r="O32" s="1" t="s">
        <v>194</v>
      </c>
      <c r="P32" s="1" t="s">
        <v>183</v>
      </c>
      <c r="Q32" s="1" t="s">
        <v>57</v>
      </c>
      <c r="R32" s="2">
        <v>45678</v>
      </c>
      <c r="S32" s="1" t="s">
        <v>34</v>
      </c>
      <c r="T32" s="1" t="s">
        <v>47</v>
      </c>
      <c r="U32" s="1" t="s">
        <v>80</v>
      </c>
      <c r="V32" s="2">
        <v>45706</v>
      </c>
      <c r="W32" s="1" t="s">
        <v>49</v>
      </c>
      <c r="X32" s="1" t="str">
        <f>IF(urbanthreads_q4[[#This Row],[Qty]]&gt;0,"Valid","Invalid")</f>
        <v>Valid</v>
      </c>
      <c r="Y32" s="1">
        <f>urbanthreads_q4[[#This Row],[Total]]*urbanthreads_q4[[#This Row],[Disc %]]/100</f>
        <v>1199.8</v>
      </c>
      <c r="Z32" s="1">
        <f>urbanthreads_q4[[#This Row],[Total]]-urbanthreads_q4[[#This Row],[Disc %]]</f>
        <v>5979</v>
      </c>
      <c r="AA32" s="1">
        <f>urbanthreads_q4[[#This Row],[Net revenue]]/urbanthreads_q4[[#This Row],[Total]]</f>
        <v>0.99666611101850311</v>
      </c>
      <c r="AB32" s="1" t="str">
        <f>TEXT(urbanthreads_q4[[#This Row],[Order Date]],"mm-yyyy")</f>
        <v>12-2024</v>
      </c>
      <c r="AC32" s="1" t="str">
        <f>YEAR(urbanthreads_q4[[#This Row],[Order Date]]) &amp; "-W" &amp; WEEKNUM(urbanthreads_q4[[#This Row],[Order Date]], 2)</f>
        <v>2024-W52</v>
      </c>
      <c r="AD32" s="1" t="str">
        <f>IF(urbanthreads_q4[[#This Row],[Payment]]="COD","COD","Prepaid")</f>
        <v>COD</v>
      </c>
    </row>
    <row r="33" spans="1:30" x14ac:dyDescent="0.3">
      <c r="A33" s="1" t="s">
        <v>219</v>
      </c>
      <c r="B33" s="2">
        <v>45573</v>
      </c>
      <c r="C33" s="1" t="s">
        <v>220</v>
      </c>
      <c r="D33" s="1" t="s">
        <v>25</v>
      </c>
      <c r="E33" s="1" t="s">
        <v>221</v>
      </c>
      <c r="F33" s="1" t="s">
        <v>27</v>
      </c>
      <c r="G33" s="1" t="s">
        <v>222</v>
      </c>
      <c r="H33">
        <v>899</v>
      </c>
      <c r="I33">
        <v>2</v>
      </c>
      <c r="J33">
        <v>1798</v>
      </c>
      <c r="K33" s="1" t="s">
        <v>29</v>
      </c>
      <c r="L33">
        <v>0</v>
      </c>
      <c r="M33" s="1" t="s">
        <v>30</v>
      </c>
      <c r="N33" s="1" t="s">
        <v>31</v>
      </c>
      <c r="O33" s="1" t="s">
        <v>46</v>
      </c>
      <c r="P33" s="1" t="s">
        <v>46</v>
      </c>
      <c r="Q33" s="1" t="s">
        <v>46</v>
      </c>
      <c r="R33" s="2">
        <v>45579</v>
      </c>
      <c r="S33" s="1" t="s">
        <v>34</v>
      </c>
      <c r="T33" s="1" t="s">
        <v>35</v>
      </c>
      <c r="U33" s="1" t="s">
        <v>29</v>
      </c>
      <c r="W33" s="1" t="s">
        <v>36</v>
      </c>
      <c r="X33" s="1" t="str">
        <f>IF(urbanthreads_q4[[#This Row],[Qty]]&gt;0,"Valid","Invalid")</f>
        <v>Valid</v>
      </c>
      <c r="Y33" s="1">
        <f>urbanthreads_q4[[#This Row],[Total]]*urbanthreads_q4[[#This Row],[Disc %]]/100</f>
        <v>0</v>
      </c>
      <c r="Z33" s="1">
        <f>urbanthreads_q4[[#This Row],[Total]]-urbanthreads_q4[[#This Row],[Disc %]]</f>
        <v>1798</v>
      </c>
      <c r="AA33" s="1">
        <f>urbanthreads_q4[[#This Row],[Net revenue]]/urbanthreads_q4[[#This Row],[Total]]</f>
        <v>1</v>
      </c>
      <c r="AB33" s="1" t="str">
        <f>TEXT(urbanthreads_q4[[#This Row],[Order Date]],"mm-yyyy")</f>
        <v>10-2024</v>
      </c>
      <c r="AC33" s="1" t="str">
        <f>YEAR(urbanthreads_q4[[#This Row],[Order Date]]) &amp; "-W" &amp; WEEKNUM(urbanthreads_q4[[#This Row],[Order Date]], 2)</f>
        <v>2024-W41</v>
      </c>
      <c r="AD33" s="1" t="str">
        <f>IF(urbanthreads_q4[[#This Row],[Payment]]="COD","COD","Prepaid")</f>
        <v>Prepaid</v>
      </c>
    </row>
    <row r="34" spans="1:30" x14ac:dyDescent="0.3">
      <c r="A34" s="1" t="s">
        <v>1409</v>
      </c>
      <c r="B34" s="2">
        <v>45652</v>
      </c>
      <c r="C34" s="1" t="s">
        <v>1410</v>
      </c>
      <c r="D34" s="1" t="s">
        <v>39</v>
      </c>
      <c r="E34" s="1" t="s">
        <v>1411</v>
      </c>
      <c r="F34" s="1" t="s">
        <v>72</v>
      </c>
      <c r="G34" s="1" t="s">
        <v>1412</v>
      </c>
      <c r="H34">
        <v>1299</v>
      </c>
      <c r="I34">
        <v>1</v>
      </c>
      <c r="J34">
        <v>1299</v>
      </c>
      <c r="K34" s="1" t="s">
        <v>29</v>
      </c>
      <c r="L34">
        <v>0</v>
      </c>
      <c r="M34" s="1" t="s">
        <v>112</v>
      </c>
      <c r="N34" s="1" t="s">
        <v>45</v>
      </c>
      <c r="O34" s="1" t="s">
        <v>199</v>
      </c>
      <c r="P34" s="1" t="s">
        <v>58</v>
      </c>
      <c r="Q34" s="1" t="s">
        <v>57</v>
      </c>
      <c r="R34" s="2">
        <v>45677</v>
      </c>
      <c r="S34" s="1" t="s">
        <v>34</v>
      </c>
      <c r="T34" s="1" t="s">
        <v>47</v>
      </c>
      <c r="U34" s="1" t="s">
        <v>69</v>
      </c>
      <c r="V34" s="2">
        <v>45704</v>
      </c>
      <c r="W34" s="1" t="s">
        <v>49</v>
      </c>
      <c r="X34" s="1" t="str">
        <f>IF(urbanthreads_q4[[#This Row],[Qty]]&gt;0,"Valid","Invalid")</f>
        <v>Valid</v>
      </c>
      <c r="Y34" s="1">
        <f>urbanthreads_q4[[#This Row],[Total]]*urbanthreads_q4[[#This Row],[Disc %]]/100</f>
        <v>0</v>
      </c>
      <c r="Z34" s="1">
        <f>urbanthreads_q4[[#This Row],[Total]]-urbanthreads_q4[[#This Row],[Disc %]]</f>
        <v>1299</v>
      </c>
      <c r="AA34" s="1">
        <f>urbanthreads_q4[[#This Row],[Net revenue]]/urbanthreads_q4[[#This Row],[Total]]</f>
        <v>1</v>
      </c>
      <c r="AB34" s="1" t="str">
        <f>TEXT(urbanthreads_q4[[#This Row],[Order Date]],"mm-yyyy")</f>
        <v>12-2024</v>
      </c>
      <c r="AC34" s="1" t="str">
        <f>YEAR(urbanthreads_q4[[#This Row],[Order Date]]) &amp; "-W" &amp; WEEKNUM(urbanthreads_q4[[#This Row],[Order Date]], 2)</f>
        <v>2024-W52</v>
      </c>
      <c r="AD34" s="1" t="str">
        <f>IF(urbanthreads_q4[[#This Row],[Payment]]="COD","COD","Prepaid")</f>
        <v>Prepaid</v>
      </c>
    </row>
    <row r="35" spans="1:30" x14ac:dyDescent="0.3">
      <c r="A35" s="1" t="s">
        <v>227</v>
      </c>
      <c r="B35" s="2">
        <v>45573</v>
      </c>
      <c r="C35" s="1" t="s">
        <v>228</v>
      </c>
      <c r="D35" s="1" t="s">
        <v>39</v>
      </c>
      <c r="E35" s="1" t="s">
        <v>229</v>
      </c>
      <c r="F35" s="1" t="s">
        <v>72</v>
      </c>
      <c r="G35" s="1" t="s">
        <v>230</v>
      </c>
      <c r="H35">
        <v>2999</v>
      </c>
      <c r="I35">
        <v>1</v>
      </c>
      <c r="J35">
        <v>2999</v>
      </c>
      <c r="K35" s="1" t="s">
        <v>29</v>
      </c>
      <c r="L35">
        <v>0</v>
      </c>
      <c r="M35" s="1" t="s">
        <v>44</v>
      </c>
      <c r="N35" s="1" t="s">
        <v>45</v>
      </c>
      <c r="O35" s="1" t="s">
        <v>67</v>
      </c>
      <c r="P35" s="1" t="s">
        <v>68</v>
      </c>
      <c r="Q35" s="1" t="s">
        <v>57</v>
      </c>
      <c r="R35" s="2">
        <v>45580</v>
      </c>
      <c r="S35" s="1" t="s">
        <v>34</v>
      </c>
      <c r="T35" s="1" t="s">
        <v>35</v>
      </c>
      <c r="U35" s="1" t="s">
        <v>29</v>
      </c>
      <c r="W35" s="1" t="s">
        <v>36</v>
      </c>
      <c r="X35" s="1" t="str">
        <f>IF(urbanthreads_q4[[#This Row],[Qty]]&gt;0,"Valid","Invalid")</f>
        <v>Valid</v>
      </c>
      <c r="Y35" s="1">
        <f>urbanthreads_q4[[#This Row],[Total]]*urbanthreads_q4[[#This Row],[Disc %]]/100</f>
        <v>0</v>
      </c>
      <c r="Z35" s="1">
        <f>urbanthreads_q4[[#This Row],[Total]]-urbanthreads_q4[[#This Row],[Disc %]]</f>
        <v>2999</v>
      </c>
      <c r="AA35" s="1">
        <f>urbanthreads_q4[[#This Row],[Net revenue]]/urbanthreads_q4[[#This Row],[Total]]</f>
        <v>1</v>
      </c>
      <c r="AB35" s="1" t="str">
        <f>TEXT(urbanthreads_q4[[#This Row],[Order Date]],"mm-yyyy")</f>
        <v>10-2024</v>
      </c>
      <c r="AC35" s="1" t="str">
        <f>YEAR(urbanthreads_q4[[#This Row],[Order Date]]) &amp; "-W" &amp; WEEKNUM(urbanthreads_q4[[#This Row],[Order Date]], 2)</f>
        <v>2024-W41</v>
      </c>
      <c r="AD35" s="1" t="str">
        <f>IF(urbanthreads_q4[[#This Row],[Payment]]="COD","COD","Prepaid")</f>
        <v>Prepaid</v>
      </c>
    </row>
    <row r="36" spans="1:30" x14ac:dyDescent="0.3">
      <c r="A36" s="1" t="s">
        <v>1417</v>
      </c>
      <c r="B36" s="2">
        <v>45653</v>
      </c>
      <c r="C36" s="1" t="s">
        <v>1418</v>
      </c>
      <c r="D36" s="1" t="s">
        <v>25</v>
      </c>
      <c r="E36" s="1" t="s">
        <v>1419</v>
      </c>
      <c r="F36" s="1" t="s">
        <v>41</v>
      </c>
      <c r="G36" s="1" t="s">
        <v>1420</v>
      </c>
      <c r="H36">
        <v>3499</v>
      </c>
      <c r="I36">
        <v>1</v>
      </c>
      <c r="J36">
        <v>3499</v>
      </c>
      <c r="K36" s="1" t="s">
        <v>995</v>
      </c>
      <c r="L36">
        <v>20</v>
      </c>
      <c r="M36" s="1" t="s">
        <v>44</v>
      </c>
      <c r="N36" s="1" t="s">
        <v>31</v>
      </c>
      <c r="O36" s="1" t="s">
        <v>209</v>
      </c>
      <c r="P36" s="1" t="s">
        <v>98</v>
      </c>
      <c r="Q36" s="1" t="s">
        <v>32</v>
      </c>
      <c r="R36" s="2">
        <v>45679</v>
      </c>
      <c r="S36" s="1" t="s">
        <v>34</v>
      </c>
      <c r="T36" s="1" t="s">
        <v>47</v>
      </c>
      <c r="U36" s="1" t="s">
        <v>48</v>
      </c>
      <c r="V36" s="2">
        <v>45707</v>
      </c>
      <c r="W36" s="1" t="s">
        <v>49</v>
      </c>
      <c r="X36" s="1" t="str">
        <f>IF(urbanthreads_q4[[#This Row],[Qty]]&gt;0,"Valid","Invalid")</f>
        <v>Valid</v>
      </c>
      <c r="Y36" s="1">
        <f>urbanthreads_q4[[#This Row],[Total]]*urbanthreads_q4[[#This Row],[Disc %]]/100</f>
        <v>699.8</v>
      </c>
      <c r="Z36" s="1">
        <f>urbanthreads_q4[[#This Row],[Total]]-urbanthreads_q4[[#This Row],[Disc %]]</f>
        <v>3479</v>
      </c>
      <c r="AA36" s="1">
        <f>urbanthreads_q4[[#This Row],[Net revenue]]/urbanthreads_q4[[#This Row],[Total]]</f>
        <v>0.9942840811660475</v>
      </c>
      <c r="AB36" s="1" t="str">
        <f>TEXT(urbanthreads_q4[[#This Row],[Order Date]],"mm-yyyy")</f>
        <v>12-2024</v>
      </c>
      <c r="AC36" s="1" t="str">
        <f>YEAR(urbanthreads_q4[[#This Row],[Order Date]]) &amp; "-W" &amp; WEEKNUM(urbanthreads_q4[[#This Row],[Order Date]], 2)</f>
        <v>2024-W52</v>
      </c>
      <c r="AD36" s="1" t="str">
        <f>IF(urbanthreads_q4[[#This Row],[Payment]]="COD","COD","Prepaid")</f>
        <v>Prepaid</v>
      </c>
    </row>
    <row r="37" spans="1:30" x14ac:dyDescent="0.3">
      <c r="A37" s="1" t="s">
        <v>235</v>
      </c>
      <c r="B37" s="2">
        <v>45574</v>
      </c>
      <c r="C37" s="1" t="s">
        <v>236</v>
      </c>
      <c r="D37" s="1" t="s">
        <v>25</v>
      </c>
      <c r="E37" s="1" t="s">
        <v>237</v>
      </c>
      <c r="F37" s="1" t="s">
        <v>41</v>
      </c>
      <c r="G37" s="1" t="s">
        <v>238</v>
      </c>
      <c r="H37">
        <v>1999</v>
      </c>
      <c r="I37">
        <v>1</v>
      </c>
      <c r="J37">
        <v>1999</v>
      </c>
      <c r="K37" s="1" t="s">
        <v>43</v>
      </c>
      <c r="L37">
        <v>20</v>
      </c>
      <c r="M37" s="1" t="s">
        <v>112</v>
      </c>
      <c r="N37" s="1" t="s">
        <v>45</v>
      </c>
      <c r="O37" s="1" t="s">
        <v>85</v>
      </c>
      <c r="P37" s="1" t="s">
        <v>33</v>
      </c>
      <c r="Q37" s="1" t="s">
        <v>32</v>
      </c>
      <c r="R37" s="2">
        <v>45581</v>
      </c>
      <c r="S37" s="1" t="s">
        <v>34</v>
      </c>
      <c r="T37" s="1" t="s">
        <v>35</v>
      </c>
      <c r="U37" s="1" t="s">
        <v>29</v>
      </c>
      <c r="W37" s="1" t="s">
        <v>36</v>
      </c>
      <c r="X37" s="1" t="str">
        <f>IF(urbanthreads_q4[[#This Row],[Qty]]&gt;0,"Valid","Invalid")</f>
        <v>Valid</v>
      </c>
      <c r="Y37" s="1">
        <f>urbanthreads_q4[[#This Row],[Total]]*urbanthreads_q4[[#This Row],[Disc %]]/100</f>
        <v>399.8</v>
      </c>
      <c r="Z37" s="1">
        <f>urbanthreads_q4[[#This Row],[Total]]-urbanthreads_q4[[#This Row],[Disc %]]</f>
        <v>1979</v>
      </c>
      <c r="AA37" s="1">
        <f>urbanthreads_q4[[#This Row],[Net revenue]]/urbanthreads_q4[[#This Row],[Total]]</f>
        <v>0.98999499749874942</v>
      </c>
      <c r="AB37" s="1" t="str">
        <f>TEXT(urbanthreads_q4[[#This Row],[Order Date]],"mm-yyyy")</f>
        <v>10-2024</v>
      </c>
      <c r="AC37" s="1" t="str">
        <f>YEAR(urbanthreads_q4[[#This Row],[Order Date]]) &amp; "-W" &amp; WEEKNUM(urbanthreads_q4[[#This Row],[Order Date]], 2)</f>
        <v>2024-W41</v>
      </c>
      <c r="AD37" s="1" t="str">
        <f>IF(urbanthreads_q4[[#This Row],[Payment]]="COD","COD","Prepaid")</f>
        <v>Prepaid</v>
      </c>
    </row>
    <row r="38" spans="1:30" x14ac:dyDescent="0.3">
      <c r="A38" s="1" t="s">
        <v>1425</v>
      </c>
      <c r="B38" s="2">
        <v>45653</v>
      </c>
      <c r="C38" s="1" t="s">
        <v>1426</v>
      </c>
      <c r="D38" s="1" t="s">
        <v>25</v>
      </c>
      <c r="E38" s="1" t="s">
        <v>1427</v>
      </c>
      <c r="F38" s="1" t="s">
        <v>62</v>
      </c>
      <c r="G38" s="1" t="s">
        <v>1428</v>
      </c>
      <c r="H38">
        <v>4599</v>
      </c>
      <c r="I38">
        <v>1</v>
      </c>
      <c r="J38">
        <v>4599</v>
      </c>
      <c r="K38" s="1" t="s">
        <v>29</v>
      </c>
      <c r="L38">
        <v>0</v>
      </c>
      <c r="M38" s="1" t="s">
        <v>56</v>
      </c>
      <c r="N38" s="1" t="s">
        <v>66</v>
      </c>
      <c r="O38" s="1" t="s">
        <v>32</v>
      </c>
      <c r="P38" s="1" t="s">
        <v>33</v>
      </c>
      <c r="Q38" s="1" t="s">
        <v>32</v>
      </c>
      <c r="R38" s="2">
        <v>45680</v>
      </c>
      <c r="S38" s="1" t="s">
        <v>34</v>
      </c>
      <c r="T38" s="1" t="s">
        <v>47</v>
      </c>
      <c r="U38" s="1" t="s">
        <v>105</v>
      </c>
      <c r="V38" s="2">
        <v>45708</v>
      </c>
      <c r="W38" s="1" t="s">
        <v>49</v>
      </c>
      <c r="X38" s="1" t="str">
        <f>IF(urbanthreads_q4[[#This Row],[Qty]]&gt;0,"Valid","Invalid")</f>
        <v>Valid</v>
      </c>
      <c r="Y38" s="1">
        <f>urbanthreads_q4[[#This Row],[Total]]*urbanthreads_q4[[#This Row],[Disc %]]/100</f>
        <v>0</v>
      </c>
      <c r="Z38" s="1">
        <f>urbanthreads_q4[[#This Row],[Total]]-urbanthreads_q4[[#This Row],[Disc %]]</f>
        <v>4599</v>
      </c>
      <c r="AA38" s="1">
        <f>urbanthreads_q4[[#This Row],[Net revenue]]/urbanthreads_q4[[#This Row],[Total]]</f>
        <v>1</v>
      </c>
      <c r="AB38" s="1" t="str">
        <f>TEXT(urbanthreads_q4[[#This Row],[Order Date]],"mm-yyyy")</f>
        <v>12-2024</v>
      </c>
      <c r="AC38" s="1" t="str">
        <f>YEAR(urbanthreads_q4[[#This Row],[Order Date]]) &amp; "-W" &amp; WEEKNUM(urbanthreads_q4[[#This Row],[Order Date]], 2)</f>
        <v>2024-W52</v>
      </c>
      <c r="AD38" s="1" t="str">
        <f>IF(urbanthreads_q4[[#This Row],[Payment]]="COD","COD","Prepaid")</f>
        <v>COD</v>
      </c>
    </row>
    <row r="39" spans="1:30" x14ac:dyDescent="0.3">
      <c r="A39" s="1" t="s">
        <v>243</v>
      </c>
      <c r="B39" s="2">
        <v>45574</v>
      </c>
      <c r="C39" s="1" t="s">
        <v>244</v>
      </c>
      <c r="D39" s="1" t="s">
        <v>39</v>
      </c>
      <c r="E39" s="1" t="s">
        <v>245</v>
      </c>
      <c r="F39" s="1" t="s">
        <v>62</v>
      </c>
      <c r="G39" s="1" t="s">
        <v>246</v>
      </c>
      <c r="H39">
        <v>7999</v>
      </c>
      <c r="I39">
        <v>1</v>
      </c>
      <c r="J39">
        <v>7999</v>
      </c>
      <c r="K39" s="1" t="s">
        <v>29</v>
      </c>
      <c r="L39">
        <v>0</v>
      </c>
      <c r="M39" s="1" t="s">
        <v>44</v>
      </c>
      <c r="N39" s="1" t="s">
        <v>31</v>
      </c>
      <c r="O39" s="1" t="s">
        <v>103</v>
      </c>
      <c r="P39" s="1" t="s">
        <v>104</v>
      </c>
      <c r="Q39" s="1" t="s">
        <v>46</v>
      </c>
      <c r="R39" s="2">
        <v>45583</v>
      </c>
      <c r="S39" s="1" t="s">
        <v>34</v>
      </c>
      <c r="T39" s="1" t="s">
        <v>35</v>
      </c>
      <c r="U39" s="1" t="s">
        <v>29</v>
      </c>
      <c r="W39" s="1" t="s">
        <v>36</v>
      </c>
      <c r="X39" s="1" t="str">
        <f>IF(urbanthreads_q4[[#This Row],[Qty]]&gt;0,"Valid","Invalid")</f>
        <v>Valid</v>
      </c>
      <c r="Y39" s="1">
        <f>urbanthreads_q4[[#This Row],[Total]]*urbanthreads_q4[[#This Row],[Disc %]]/100</f>
        <v>0</v>
      </c>
      <c r="Z39" s="1">
        <f>urbanthreads_q4[[#This Row],[Total]]-urbanthreads_q4[[#This Row],[Disc %]]</f>
        <v>7999</v>
      </c>
      <c r="AA39" s="1">
        <f>urbanthreads_q4[[#This Row],[Net revenue]]/urbanthreads_q4[[#This Row],[Total]]</f>
        <v>1</v>
      </c>
      <c r="AB39" s="1" t="str">
        <f>TEXT(urbanthreads_q4[[#This Row],[Order Date]],"mm-yyyy")</f>
        <v>10-2024</v>
      </c>
      <c r="AC39" s="1" t="str">
        <f>YEAR(urbanthreads_q4[[#This Row],[Order Date]]) &amp; "-W" &amp; WEEKNUM(urbanthreads_q4[[#This Row],[Order Date]], 2)</f>
        <v>2024-W41</v>
      </c>
      <c r="AD39" s="1" t="str">
        <f>IF(urbanthreads_q4[[#This Row],[Payment]]="COD","COD","Prepaid")</f>
        <v>Prepaid</v>
      </c>
    </row>
    <row r="40" spans="1:30" x14ac:dyDescent="0.3">
      <c r="A40" s="1" t="s">
        <v>247</v>
      </c>
      <c r="B40" s="2">
        <v>45574</v>
      </c>
      <c r="C40" s="1" t="s">
        <v>248</v>
      </c>
      <c r="D40" s="1" t="s">
        <v>25</v>
      </c>
      <c r="E40" s="1" t="s">
        <v>249</v>
      </c>
      <c r="F40" s="1" t="s">
        <v>72</v>
      </c>
      <c r="G40" s="1" t="s">
        <v>250</v>
      </c>
      <c r="H40">
        <v>1499</v>
      </c>
      <c r="I40">
        <v>1</v>
      </c>
      <c r="J40">
        <v>1499</v>
      </c>
      <c r="K40" s="1" t="s">
        <v>111</v>
      </c>
      <c r="L40">
        <v>10</v>
      </c>
      <c r="M40" s="1" t="s">
        <v>65</v>
      </c>
      <c r="N40" s="1" t="s">
        <v>45</v>
      </c>
      <c r="O40" s="1" t="s">
        <v>113</v>
      </c>
      <c r="P40" s="1" t="s">
        <v>114</v>
      </c>
      <c r="Q40" s="1" t="s">
        <v>46</v>
      </c>
      <c r="R40" s="2">
        <v>45582</v>
      </c>
      <c r="S40" s="1" t="s">
        <v>34</v>
      </c>
      <c r="T40" s="1" t="s">
        <v>35</v>
      </c>
      <c r="U40" s="1" t="s">
        <v>29</v>
      </c>
      <c r="W40" s="1" t="s">
        <v>36</v>
      </c>
      <c r="X40" s="1" t="str">
        <f>IF(urbanthreads_q4[[#This Row],[Qty]]&gt;0,"Valid","Invalid")</f>
        <v>Valid</v>
      </c>
      <c r="Y40" s="1">
        <f>urbanthreads_q4[[#This Row],[Total]]*urbanthreads_q4[[#This Row],[Disc %]]/100</f>
        <v>149.9</v>
      </c>
      <c r="Z40" s="1">
        <f>urbanthreads_q4[[#This Row],[Total]]-urbanthreads_q4[[#This Row],[Disc %]]</f>
        <v>1489</v>
      </c>
      <c r="AA40" s="1">
        <f>urbanthreads_q4[[#This Row],[Net revenue]]/urbanthreads_q4[[#This Row],[Total]]</f>
        <v>0.9933288859239493</v>
      </c>
      <c r="AB40" s="1" t="str">
        <f>TEXT(urbanthreads_q4[[#This Row],[Order Date]],"mm-yyyy")</f>
        <v>10-2024</v>
      </c>
      <c r="AC40" s="1" t="str">
        <f>YEAR(urbanthreads_q4[[#This Row],[Order Date]]) &amp; "-W" &amp; WEEKNUM(urbanthreads_q4[[#This Row],[Order Date]], 2)</f>
        <v>2024-W41</v>
      </c>
      <c r="AD40" s="1" t="str">
        <f>IF(urbanthreads_q4[[#This Row],[Payment]]="COD","COD","Prepaid")</f>
        <v>Prepaid</v>
      </c>
    </row>
    <row r="41" spans="1:30" x14ac:dyDescent="0.3">
      <c r="A41" s="1" t="s">
        <v>1433</v>
      </c>
      <c r="B41" s="2">
        <v>45654</v>
      </c>
      <c r="C41" s="1" t="s">
        <v>1434</v>
      </c>
      <c r="D41" s="1" t="s">
        <v>25</v>
      </c>
      <c r="E41" s="1" t="s">
        <v>1435</v>
      </c>
      <c r="F41" s="1" t="s">
        <v>27</v>
      </c>
      <c r="G41" s="1" t="s">
        <v>1436</v>
      </c>
      <c r="H41">
        <v>1899</v>
      </c>
      <c r="I41">
        <v>1</v>
      </c>
      <c r="J41">
        <v>1899</v>
      </c>
      <c r="K41" s="1" t="s">
        <v>29</v>
      </c>
      <c r="L41">
        <v>0</v>
      </c>
      <c r="M41" s="1" t="s">
        <v>65</v>
      </c>
      <c r="N41" s="1" t="s">
        <v>45</v>
      </c>
      <c r="O41" s="1" t="s">
        <v>91</v>
      </c>
      <c r="P41" s="1" t="s">
        <v>92</v>
      </c>
      <c r="Q41" s="1" t="s">
        <v>46</v>
      </c>
      <c r="R41" s="2">
        <v>45680</v>
      </c>
      <c r="S41" s="1" t="s">
        <v>34</v>
      </c>
      <c r="T41" s="1" t="s">
        <v>47</v>
      </c>
      <c r="U41" s="1" t="s">
        <v>139</v>
      </c>
      <c r="V41" s="2">
        <v>45707</v>
      </c>
      <c r="W41" s="1" t="s">
        <v>49</v>
      </c>
      <c r="X41" s="1" t="str">
        <f>IF(urbanthreads_q4[[#This Row],[Qty]]&gt;0,"Valid","Invalid")</f>
        <v>Valid</v>
      </c>
      <c r="Y41" s="1">
        <f>urbanthreads_q4[[#This Row],[Total]]*urbanthreads_q4[[#This Row],[Disc %]]/100</f>
        <v>0</v>
      </c>
      <c r="Z41" s="1">
        <f>urbanthreads_q4[[#This Row],[Total]]-urbanthreads_q4[[#This Row],[Disc %]]</f>
        <v>1899</v>
      </c>
      <c r="AA41" s="1">
        <f>urbanthreads_q4[[#This Row],[Net revenue]]/urbanthreads_q4[[#This Row],[Total]]</f>
        <v>1</v>
      </c>
      <c r="AB41" s="1" t="str">
        <f>TEXT(urbanthreads_q4[[#This Row],[Order Date]],"mm-yyyy")</f>
        <v>12-2024</v>
      </c>
      <c r="AC41" s="1" t="str">
        <f>YEAR(urbanthreads_q4[[#This Row],[Order Date]]) &amp; "-W" &amp; WEEKNUM(urbanthreads_q4[[#This Row],[Order Date]], 2)</f>
        <v>2024-W52</v>
      </c>
      <c r="AD41" s="1" t="str">
        <f>IF(urbanthreads_q4[[#This Row],[Payment]]="COD","COD","Prepaid")</f>
        <v>Prepaid</v>
      </c>
    </row>
    <row r="42" spans="1:30" x14ac:dyDescent="0.3">
      <c r="A42" s="1" t="s">
        <v>255</v>
      </c>
      <c r="B42" s="2">
        <v>45575</v>
      </c>
      <c r="C42" s="1" t="s">
        <v>256</v>
      </c>
      <c r="D42" s="1" t="s">
        <v>25</v>
      </c>
      <c r="E42" s="1" t="s">
        <v>257</v>
      </c>
      <c r="F42" s="1" t="s">
        <v>41</v>
      </c>
      <c r="G42" s="1" t="s">
        <v>258</v>
      </c>
      <c r="H42">
        <v>2299</v>
      </c>
      <c r="I42">
        <v>1</v>
      </c>
      <c r="J42">
        <v>2299</v>
      </c>
      <c r="K42" s="1" t="s">
        <v>29</v>
      </c>
      <c r="L42">
        <v>0</v>
      </c>
      <c r="M42" s="1" t="s">
        <v>30</v>
      </c>
      <c r="N42" s="1" t="s">
        <v>66</v>
      </c>
      <c r="O42" s="1" t="s">
        <v>32</v>
      </c>
      <c r="P42" s="1" t="s">
        <v>33</v>
      </c>
      <c r="Q42" s="1" t="s">
        <v>32</v>
      </c>
      <c r="R42" s="2">
        <v>45583</v>
      </c>
      <c r="S42" s="1" t="s">
        <v>34</v>
      </c>
      <c r="T42" s="1" t="s">
        <v>35</v>
      </c>
      <c r="U42" s="1" t="s">
        <v>29</v>
      </c>
      <c r="W42" s="1" t="s">
        <v>36</v>
      </c>
      <c r="X42" s="1" t="str">
        <f>IF(urbanthreads_q4[[#This Row],[Qty]]&gt;0,"Valid","Invalid")</f>
        <v>Valid</v>
      </c>
      <c r="Y42" s="1">
        <f>urbanthreads_q4[[#This Row],[Total]]*urbanthreads_q4[[#This Row],[Disc %]]/100</f>
        <v>0</v>
      </c>
      <c r="Z42" s="1">
        <f>urbanthreads_q4[[#This Row],[Total]]-urbanthreads_q4[[#This Row],[Disc %]]</f>
        <v>2299</v>
      </c>
      <c r="AA42" s="1">
        <f>urbanthreads_q4[[#This Row],[Net revenue]]/urbanthreads_q4[[#This Row],[Total]]</f>
        <v>1</v>
      </c>
      <c r="AB42" s="1" t="str">
        <f>TEXT(urbanthreads_q4[[#This Row],[Order Date]],"mm-yyyy")</f>
        <v>10-2024</v>
      </c>
      <c r="AC42" s="1" t="str">
        <f>YEAR(urbanthreads_q4[[#This Row],[Order Date]]) &amp; "-W" &amp; WEEKNUM(urbanthreads_q4[[#This Row],[Order Date]], 2)</f>
        <v>2024-W41</v>
      </c>
      <c r="AD42" s="1" t="str">
        <f>IF(urbanthreads_q4[[#This Row],[Payment]]="COD","COD","Prepaid")</f>
        <v>Prepaid</v>
      </c>
    </row>
    <row r="43" spans="1:30" x14ac:dyDescent="0.3">
      <c r="A43" s="1" t="s">
        <v>1437</v>
      </c>
      <c r="B43" s="2">
        <v>45654</v>
      </c>
      <c r="C43" s="1" t="s">
        <v>1438</v>
      </c>
      <c r="D43" s="1" t="s">
        <v>25</v>
      </c>
      <c r="E43" s="1" t="s">
        <v>1439</v>
      </c>
      <c r="F43" s="1" t="s">
        <v>41</v>
      </c>
      <c r="G43" s="1" t="s">
        <v>1440</v>
      </c>
      <c r="H43">
        <v>4099</v>
      </c>
      <c r="I43">
        <v>1</v>
      </c>
      <c r="J43">
        <v>4099</v>
      </c>
      <c r="K43" s="1" t="s">
        <v>29</v>
      </c>
      <c r="L43">
        <v>0</v>
      </c>
      <c r="M43" s="1" t="s">
        <v>44</v>
      </c>
      <c r="N43" s="1" t="s">
        <v>66</v>
      </c>
      <c r="O43" s="1" t="s">
        <v>67</v>
      </c>
      <c r="P43" s="1" t="s">
        <v>68</v>
      </c>
      <c r="Q43" s="1" t="s">
        <v>57</v>
      </c>
      <c r="R43" s="2">
        <v>45681</v>
      </c>
      <c r="S43" s="1" t="s">
        <v>34</v>
      </c>
      <c r="T43" s="1" t="s">
        <v>47</v>
      </c>
      <c r="U43" s="1" t="s">
        <v>48</v>
      </c>
      <c r="V43" s="2">
        <v>45709</v>
      </c>
      <c r="W43" s="1" t="s">
        <v>49</v>
      </c>
      <c r="X43" s="1" t="str">
        <f>IF(urbanthreads_q4[[#This Row],[Qty]]&gt;0,"Valid","Invalid")</f>
        <v>Valid</v>
      </c>
      <c r="Y43" s="1">
        <f>urbanthreads_q4[[#This Row],[Total]]*urbanthreads_q4[[#This Row],[Disc %]]/100</f>
        <v>0</v>
      </c>
      <c r="Z43" s="1">
        <f>urbanthreads_q4[[#This Row],[Total]]-urbanthreads_q4[[#This Row],[Disc %]]</f>
        <v>4099</v>
      </c>
      <c r="AA43" s="1">
        <f>urbanthreads_q4[[#This Row],[Net revenue]]/urbanthreads_q4[[#This Row],[Total]]</f>
        <v>1</v>
      </c>
      <c r="AB43" s="1" t="str">
        <f>TEXT(urbanthreads_q4[[#This Row],[Order Date]],"mm-yyyy")</f>
        <v>12-2024</v>
      </c>
      <c r="AC43" s="1" t="str">
        <f>YEAR(urbanthreads_q4[[#This Row],[Order Date]]) &amp; "-W" &amp; WEEKNUM(urbanthreads_q4[[#This Row],[Order Date]], 2)</f>
        <v>2024-W52</v>
      </c>
      <c r="AD43" s="1" t="str">
        <f>IF(urbanthreads_q4[[#This Row],[Payment]]="COD","COD","Prepaid")</f>
        <v>Prepaid</v>
      </c>
    </row>
    <row r="44" spans="1:30" x14ac:dyDescent="0.3">
      <c r="A44" s="1" t="s">
        <v>263</v>
      </c>
      <c r="B44" s="2">
        <v>45575</v>
      </c>
      <c r="C44" s="1" t="s">
        <v>264</v>
      </c>
      <c r="D44" s="1" t="s">
        <v>25</v>
      </c>
      <c r="E44" s="1" t="s">
        <v>265</v>
      </c>
      <c r="F44" s="1" t="s">
        <v>62</v>
      </c>
      <c r="G44" s="1" t="s">
        <v>266</v>
      </c>
      <c r="H44">
        <v>2499</v>
      </c>
      <c r="I44">
        <v>1</v>
      </c>
      <c r="J44">
        <v>2499</v>
      </c>
      <c r="K44" s="1" t="s">
        <v>29</v>
      </c>
      <c r="L44">
        <v>0</v>
      </c>
      <c r="M44" s="1" t="s">
        <v>112</v>
      </c>
      <c r="N44" s="1" t="s">
        <v>31</v>
      </c>
      <c r="O44" s="1" t="s">
        <v>119</v>
      </c>
      <c r="P44" s="1" t="s">
        <v>120</v>
      </c>
      <c r="Q44" s="1" t="s">
        <v>46</v>
      </c>
      <c r="R44" s="2">
        <v>45585</v>
      </c>
      <c r="S44" s="1" t="s">
        <v>34</v>
      </c>
      <c r="T44" s="1" t="s">
        <v>35</v>
      </c>
      <c r="U44" s="1" t="s">
        <v>29</v>
      </c>
      <c r="W44" s="1" t="s">
        <v>36</v>
      </c>
      <c r="X44" s="1" t="str">
        <f>IF(urbanthreads_q4[[#This Row],[Qty]]&gt;0,"Valid","Invalid")</f>
        <v>Valid</v>
      </c>
      <c r="Y44" s="1">
        <f>urbanthreads_q4[[#This Row],[Total]]*urbanthreads_q4[[#This Row],[Disc %]]/100</f>
        <v>0</v>
      </c>
      <c r="Z44" s="1">
        <f>urbanthreads_q4[[#This Row],[Total]]-urbanthreads_q4[[#This Row],[Disc %]]</f>
        <v>2499</v>
      </c>
      <c r="AA44" s="1">
        <f>urbanthreads_q4[[#This Row],[Net revenue]]/urbanthreads_q4[[#This Row],[Total]]</f>
        <v>1</v>
      </c>
      <c r="AB44" s="1" t="str">
        <f>TEXT(urbanthreads_q4[[#This Row],[Order Date]],"mm-yyyy")</f>
        <v>10-2024</v>
      </c>
      <c r="AC44" s="1" t="str">
        <f>YEAR(urbanthreads_q4[[#This Row],[Order Date]]) &amp; "-W" &amp; WEEKNUM(urbanthreads_q4[[#This Row],[Order Date]], 2)</f>
        <v>2024-W41</v>
      </c>
      <c r="AD44" s="1" t="str">
        <f>IF(urbanthreads_q4[[#This Row],[Payment]]="COD","COD","Prepaid")</f>
        <v>Prepaid</v>
      </c>
    </row>
    <row r="45" spans="1:30" x14ac:dyDescent="0.3">
      <c r="A45" s="1" t="s">
        <v>1445</v>
      </c>
      <c r="B45" s="2">
        <v>45655</v>
      </c>
      <c r="C45" s="1" t="s">
        <v>1446</v>
      </c>
      <c r="D45" s="1" t="s">
        <v>25</v>
      </c>
      <c r="E45" s="1" t="s">
        <v>1447</v>
      </c>
      <c r="F45" s="1" t="s">
        <v>62</v>
      </c>
      <c r="G45" s="1" t="s">
        <v>1448</v>
      </c>
      <c r="H45">
        <v>5799</v>
      </c>
      <c r="I45">
        <v>1</v>
      </c>
      <c r="J45">
        <v>5799</v>
      </c>
      <c r="K45" s="1" t="s">
        <v>29</v>
      </c>
      <c r="L45">
        <v>0</v>
      </c>
      <c r="M45" s="1" t="s">
        <v>56</v>
      </c>
      <c r="N45" s="1" t="s">
        <v>45</v>
      </c>
      <c r="O45" s="1" t="s">
        <v>85</v>
      </c>
      <c r="P45" s="1" t="s">
        <v>33</v>
      </c>
      <c r="Q45" s="1" t="s">
        <v>32</v>
      </c>
      <c r="R45" s="2">
        <v>45682</v>
      </c>
      <c r="S45" s="1" t="s">
        <v>34</v>
      </c>
      <c r="T45" s="1" t="s">
        <v>47</v>
      </c>
      <c r="U45" s="1" t="s">
        <v>80</v>
      </c>
      <c r="V45" s="2">
        <v>45710</v>
      </c>
      <c r="W45" s="1" t="s">
        <v>49</v>
      </c>
      <c r="X45" s="1" t="str">
        <f>IF(urbanthreads_q4[[#This Row],[Qty]]&gt;0,"Valid","Invalid")</f>
        <v>Valid</v>
      </c>
      <c r="Y45" s="1">
        <f>urbanthreads_q4[[#This Row],[Total]]*urbanthreads_q4[[#This Row],[Disc %]]/100</f>
        <v>0</v>
      </c>
      <c r="Z45" s="1">
        <f>urbanthreads_q4[[#This Row],[Total]]-urbanthreads_q4[[#This Row],[Disc %]]</f>
        <v>5799</v>
      </c>
      <c r="AA45" s="1">
        <f>urbanthreads_q4[[#This Row],[Net revenue]]/urbanthreads_q4[[#This Row],[Total]]</f>
        <v>1</v>
      </c>
      <c r="AB45" s="1" t="str">
        <f>TEXT(urbanthreads_q4[[#This Row],[Order Date]],"mm-yyyy")</f>
        <v>12-2024</v>
      </c>
      <c r="AC45" s="1" t="str">
        <f>YEAR(urbanthreads_q4[[#This Row],[Order Date]]) &amp; "-W" &amp; WEEKNUM(urbanthreads_q4[[#This Row],[Order Date]], 2)</f>
        <v>2024-W52</v>
      </c>
      <c r="AD45" s="1" t="str">
        <f>IF(urbanthreads_q4[[#This Row],[Payment]]="COD","COD","Prepaid")</f>
        <v>COD</v>
      </c>
    </row>
    <row r="46" spans="1:30" x14ac:dyDescent="0.3">
      <c r="A46" s="1" t="s">
        <v>271</v>
      </c>
      <c r="B46" s="2">
        <v>45576</v>
      </c>
      <c r="C46" s="1" t="s">
        <v>272</v>
      </c>
      <c r="D46" s="1" t="s">
        <v>25</v>
      </c>
      <c r="E46" s="1" t="s">
        <v>273</v>
      </c>
      <c r="F46" s="1" t="s">
        <v>54</v>
      </c>
      <c r="G46" s="1" t="s">
        <v>274</v>
      </c>
      <c r="H46">
        <v>1999</v>
      </c>
      <c r="I46">
        <v>1</v>
      </c>
      <c r="J46">
        <v>1999</v>
      </c>
      <c r="K46" s="1" t="s">
        <v>64</v>
      </c>
      <c r="L46">
        <v>15</v>
      </c>
      <c r="M46" s="1" t="s">
        <v>30</v>
      </c>
      <c r="N46" s="1" t="s">
        <v>45</v>
      </c>
      <c r="O46" s="1" t="s">
        <v>144</v>
      </c>
      <c r="P46" s="1" t="s">
        <v>145</v>
      </c>
      <c r="Q46" s="1" t="s">
        <v>46</v>
      </c>
      <c r="R46" s="2">
        <v>45584</v>
      </c>
      <c r="S46" s="1" t="s">
        <v>34</v>
      </c>
      <c r="T46" s="1" t="s">
        <v>35</v>
      </c>
      <c r="U46" s="1" t="s">
        <v>29</v>
      </c>
      <c r="W46" s="1" t="s">
        <v>36</v>
      </c>
      <c r="X46" s="1" t="str">
        <f>IF(urbanthreads_q4[[#This Row],[Qty]]&gt;0,"Valid","Invalid")</f>
        <v>Valid</v>
      </c>
      <c r="Y46" s="1">
        <f>urbanthreads_q4[[#This Row],[Total]]*urbanthreads_q4[[#This Row],[Disc %]]/100</f>
        <v>299.85000000000002</v>
      </c>
      <c r="Z46" s="1">
        <f>urbanthreads_q4[[#This Row],[Total]]-urbanthreads_q4[[#This Row],[Disc %]]</f>
        <v>1984</v>
      </c>
      <c r="AA46" s="1">
        <f>urbanthreads_q4[[#This Row],[Net revenue]]/urbanthreads_q4[[#This Row],[Total]]</f>
        <v>0.99249624812406201</v>
      </c>
      <c r="AB46" s="1" t="str">
        <f>TEXT(urbanthreads_q4[[#This Row],[Order Date]],"mm-yyyy")</f>
        <v>10-2024</v>
      </c>
      <c r="AC46" s="1" t="str">
        <f>YEAR(urbanthreads_q4[[#This Row],[Order Date]]) &amp; "-W" &amp; WEEKNUM(urbanthreads_q4[[#This Row],[Order Date]], 2)</f>
        <v>2024-W41</v>
      </c>
      <c r="AD46" s="1" t="str">
        <f>IF(urbanthreads_q4[[#This Row],[Payment]]="COD","COD","Prepaid")</f>
        <v>Prepaid</v>
      </c>
    </row>
    <row r="47" spans="1:30" x14ac:dyDescent="0.3">
      <c r="A47" s="1" t="s">
        <v>275</v>
      </c>
      <c r="B47" s="2">
        <v>45576</v>
      </c>
      <c r="C47" s="1" t="s">
        <v>276</v>
      </c>
      <c r="D47" s="1" t="s">
        <v>39</v>
      </c>
      <c r="E47" s="1" t="s">
        <v>277</v>
      </c>
      <c r="F47" s="1" t="s">
        <v>41</v>
      </c>
      <c r="G47" s="1" t="s">
        <v>278</v>
      </c>
      <c r="H47">
        <v>2599</v>
      </c>
      <c r="I47">
        <v>1</v>
      </c>
      <c r="J47">
        <v>2599</v>
      </c>
      <c r="K47" s="1" t="s">
        <v>29</v>
      </c>
      <c r="L47">
        <v>0</v>
      </c>
      <c r="M47" s="1" t="s">
        <v>44</v>
      </c>
      <c r="N47" s="1" t="s">
        <v>31</v>
      </c>
      <c r="O47" s="1" t="s">
        <v>150</v>
      </c>
      <c r="P47" s="1" t="s">
        <v>151</v>
      </c>
      <c r="Q47" s="1" t="s">
        <v>32</v>
      </c>
      <c r="R47" s="2">
        <v>45585</v>
      </c>
      <c r="S47" s="1" t="s">
        <v>34</v>
      </c>
      <c r="T47" s="1" t="s">
        <v>35</v>
      </c>
      <c r="U47" s="1" t="s">
        <v>29</v>
      </c>
      <c r="W47" s="1" t="s">
        <v>36</v>
      </c>
      <c r="X47" s="1" t="str">
        <f>IF(urbanthreads_q4[[#This Row],[Qty]]&gt;0,"Valid","Invalid")</f>
        <v>Valid</v>
      </c>
      <c r="Y47" s="1">
        <f>urbanthreads_q4[[#This Row],[Total]]*urbanthreads_q4[[#This Row],[Disc %]]/100</f>
        <v>0</v>
      </c>
      <c r="Z47" s="1">
        <f>urbanthreads_q4[[#This Row],[Total]]-urbanthreads_q4[[#This Row],[Disc %]]</f>
        <v>2599</v>
      </c>
      <c r="AA47" s="1">
        <f>urbanthreads_q4[[#This Row],[Net revenue]]/urbanthreads_q4[[#This Row],[Total]]</f>
        <v>1</v>
      </c>
      <c r="AB47" s="1" t="str">
        <f>TEXT(urbanthreads_q4[[#This Row],[Order Date]],"mm-yyyy")</f>
        <v>10-2024</v>
      </c>
      <c r="AC47" s="1" t="str">
        <f>YEAR(urbanthreads_q4[[#This Row],[Order Date]]) &amp; "-W" &amp; WEEKNUM(urbanthreads_q4[[#This Row],[Order Date]], 2)</f>
        <v>2024-W41</v>
      </c>
      <c r="AD47" s="1" t="str">
        <f>IF(urbanthreads_q4[[#This Row],[Payment]]="COD","COD","Prepaid")</f>
        <v>Prepaid</v>
      </c>
    </row>
    <row r="48" spans="1:30" x14ac:dyDescent="0.3">
      <c r="A48" s="1" t="s">
        <v>279</v>
      </c>
      <c r="B48" s="2">
        <v>45576</v>
      </c>
      <c r="C48" s="1" t="s">
        <v>280</v>
      </c>
      <c r="D48" s="1" t="s">
        <v>25</v>
      </c>
      <c r="E48" s="1" t="s">
        <v>281</v>
      </c>
      <c r="F48" s="1" t="s">
        <v>27</v>
      </c>
      <c r="G48" s="1" t="s">
        <v>282</v>
      </c>
      <c r="H48">
        <v>1299</v>
      </c>
      <c r="I48">
        <v>1</v>
      </c>
      <c r="J48">
        <v>1299</v>
      </c>
      <c r="K48" s="1" t="s">
        <v>29</v>
      </c>
      <c r="L48">
        <v>0</v>
      </c>
      <c r="M48" s="1" t="s">
        <v>56</v>
      </c>
      <c r="N48" s="1" t="s">
        <v>66</v>
      </c>
      <c r="O48" s="1" t="s">
        <v>156</v>
      </c>
      <c r="P48" s="1" t="s">
        <v>98</v>
      </c>
      <c r="Q48" s="1" t="s">
        <v>32</v>
      </c>
      <c r="S48" s="1" t="s">
        <v>121</v>
      </c>
      <c r="T48" s="1" t="s">
        <v>35</v>
      </c>
      <c r="U48" s="1" t="s">
        <v>29</v>
      </c>
      <c r="W48" s="1" t="s">
        <v>36</v>
      </c>
      <c r="X48" s="1" t="str">
        <f>IF(urbanthreads_q4[[#This Row],[Qty]]&gt;0,"Valid","Invalid")</f>
        <v>Valid</v>
      </c>
      <c r="Y48" s="1">
        <f>urbanthreads_q4[[#This Row],[Total]]*urbanthreads_q4[[#This Row],[Disc %]]/100</f>
        <v>0</v>
      </c>
      <c r="Z48" s="1">
        <f>urbanthreads_q4[[#This Row],[Total]]-urbanthreads_q4[[#This Row],[Disc %]]</f>
        <v>1299</v>
      </c>
      <c r="AA48" s="1">
        <f>urbanthreads_q4[[#This Row],[Net revenue]]/urbanthreads_q4[[#This Row],[Total]]</f>
        <v>1</v>
      </c>
      <c r="AB48" s="1" t="str">
        <f>TEXT(urbanthreads_q4[[#This Row],[Order Date]],"mm-yyyy")</f>
        <v>10-2024</v>
      </c>
      <c r="AC48" s="1" t="str">
        <f>YEAR(urbanthreads_q4[[#This Row],[Order Date]]) &amp; "-W" &amp; WEEKNUM(urbanthreads_q4[[#This Row],[Order Date]], 2)</f>
        <v>2024-W41</v>
      </c>
      <c r="AD48" s="1" t="str">
        <f>IF(urbanthreads_q4[[#This Row],[Payment]]="COD","COD","Prepaid")</f>
        <v>COD</v>
      </c>
    </row>
    <row r="49" spans="1:30" x14ac:dyDescent="0.3">
      <c r="A49" s="1" t="s">
        <v>1449</v>
      </c>
      <c r="B49" s="2">
        <v>45655</v>
      </c>
      <c r="C49" s="1" t="s">
        <v>1450</v>
      </c>
      <c r="D49" s="1" t="s">
        <v>39</v>
      </c>
      <c r="E49" s="1" t="s">
        <v>1451</v>
      </c>
      <c r="F49" s="1" t="s">
        <v>72</v>
      </c>
      <c r="G49" s="1" t="s">
        <v>1452</v>
      </c>
      <c r="H49">
        <v>699</v>
      </c>
      <c r="I49">
        <v>2</v>
      </c>
      <c r="J49">
        <v>1398</v>
      </c>
      <c r="K49" s="1" t="s">
        <v>29</v>
      </c>
      <c r="L49">
        <v>0</v>
      </c>
      <c r="M49" s="1" t="s">
        <v>112</v>
      </c>
      <c r="N49" s="1" t="s">
        <v>66</v>
      </c>
      <c r="O49" s="1" t="s">
        <v>97</v>
      </c>
      <c r="P49" s="1" t="s">
        <v>98</v>
      </c>
      <c r="Q49" s="1" t="s">
        <v>32</v>
      </c>
      <c r="R49" s="2">
        <v>45681</v>
      </c>
      <c r="S49" s="1" t="s">
        <v>34</v>
      </c>
      <c r="T49" s="1" t="s">
        <v>47</v>
      </c>
      <c r="U49" s="1" t="s">
        <v>69</v>
      </c>
      <c r="V49" s="2">
        <v>45708</v>
      </c>
      <c r="W49" s="1" t="s">
        <v>49</v>
      </c>
      <c r="X49" s="1" t="str">
        <f>IF(urbanthreads_q4[[#This Row],[Qty]]&gt;0,"Valid","Invalid")</f>
        <v>Valid</v>
      </c>
      <c r="Y49" s="1">
        <f>urbanthreads_q4[[#This Row],[Total]]*urbanthreads_q4[[#This Row],[Disc %]]/100</f>
        <v>0</v>
      </c>
      <c r="Z49" s="1">
        <f>urbanthreads_q4[[#This Row],[Total]]-urbanthreads_q4[[#This Row],[Disc %]]</f>
        <v>1398</v>
      </c>
      <c r="AA49" s="1">
        <f>urbanthreads_q4[[#This Row],[Net revenue]]/urbanthreads_q4[[#This Row],[Total]]</f>
        <v>1</v>
      </c>
      <c r="AB49" s="1" t="str">
        <f>TEXT(urbanthreads_q4[[#This Row],[Order Date]],"mm-yyyy")</f>
        <v>12-2024</v>
      </c>
      <c r="AC49" s="1" t="str">
        <f>YEAR(urbanthreads_q4[[#This Row],[Order Date]]) &amp; "-W" &amp; WEEKNUM(urbanthreads_q4[[#This Row],[Order Date]], 2)</f>
        <v>2024-W52</v>
      </c>
      <c r="AD49" s="1" t="str">
        <f>IF(urbanthreads_q4[[#This Row],[Payment]]="COD","COD","Prepaid")</f>
        <v>Prepaid</v>
      </c>
    </row>
    <row r="50" spans="1:30" x14ac:dyDescent="0.3">
      <c r="A50" s="1" t="s">
        <v>287</v>
      </c>
      <c r="B50" s="2">
        <v>45577</v>
      </c>
      <c r="C50" s="1" t="s">
        <v>288</v>
      </c>
      <c r="D50" s="1" t="s">
        <v>25</v>
      </c>
      <c r="E50" s="1" t="s">
        <v>289</v>
      </c>
      <c r="F50" s="1" t="s">
        <v>72</v>
      </c>
      <c r="G50" s="1" t="s">
        <v>290</v>
      </c>
      <c r="H50">
        <v>799</v>
      </c>
      <c r="I50">
        <v>2</v>
      </c>
      <c r="J50">
        <v>1598</v>
      </c>
      <c r="K50" s="1" t="s">
        <v>29</v>
      </c>
      <c r="L50">
        <v>0</v>
      </c>
      <c r="M50" s="1" t="s">
        <v>30</v>
      </c>
      <c r="N50" s="1" t="s">
        <v>31</v>
      </c>
      <c r="O50" s="1" t="s">
        <v>167</v>
      </c>
      <c r="P50" s="1" t="s">
        <v>151</v>
      </c>
      <c r="Q50" s="1" t="s">
        <v>32</v>
      </c>
      <c r="R50" s="2">
        <v>45585</v>
      </c>
      <c r="S50" s="1" t="s">
        <v>34</v>
      </c>
      <c r="T50" s="1" t="s">
        <v>35</v>
      </c>
      <c r="U50" s="1" t="s">
        <v>29</v>
      </c>
      <c r="W50" s="1" t="s">
        <v>36</v>
      </c>
      <c r="X50" s="1" t="str">
        <f>IF(urbanthreads_q4[[#This Row],[Qty]]&gt;0,"Valid","Invalid")</f>
        <v>Valid</v>
      </c>
      <c r="Y50" s="1">
        <f>urbanthreads_q4[[#This Row],[Total]]*urbanthreads_q4[[#This Row],[Disc %]]/100</f>
        <v>0</v>
      </c>
      <c r="Z50" s="1">
        <f>urbanthreads_q4[[#This Row],[Total]]-urbanthreads_q4[[#This Row],[Disc %]]</f>
        <v>1598</v>
      </c>
      <c r="AA50" s="1">
        <f>urbanthreads_q4[[#This Row],[Net revenue]]/urbanthreads_q4[[#This Row],[Total]]</f>
        <v>1</v>
      </c>
      <c r="AB50" s="1" t="str">
        <f>TEXT(urbanthreads_q4[[#This Row],[Order Date]],"mm-yyyy")</f>
        <v>10-2024</v>
      </c>
      <c r="AC50" s="1" t="str">
        <f>YEAR(urbanthreads_q4[[#This Row],[Order Date]]) &amp; "-W" &amp; WEEKNUM(urbanthreads_q4[[#This Row],[Order Date]], 2)</f>
        <v>2024-W41</v>
      </c>
      <c r="AD50" s="1" t="str">
        <f>IF(urbanthreads_q4[[#This Row],[Payment]]="COD","COD","Prepaid")</f>
        <v>Prepaid</v>
      </c>
    </row>
    <row r="51" spans="1:30" x14ac:dyDescent="0.3">
      <c r="A51" s="1" t="s">
        <v>291</v>
      </c>
      <c r="B51" s="2">
        <v>45577</v>
      </c>
      <c r="C51" s="1" t="s">
        <v>292</v>
      </c>
      <c r="D51" s="1" t="s">
        <v>39</v>
      </c>
      <c r="E51" s="1" t="s">
        <v>293</v>
      </c>
      <c r="F51" s="1" t="s">
        <v>54</v>
      </c>
      <c r="G51" s="1" t="s">
        <v>294</v>
      </c>
      <c r="H51">
        <v>999</v>
      </c>
      <c r="I51">
        <v>2</v>
      </c>
      <c r="J51">
        <v>1998</v>
      </c>
      <c r="K51" s="1" t="s">
        <v>29</v>
      </c>
      <c r="L51">
        <v>0</v>
      </c>
      <c r="M51" s="1" t="s">
        <v>112</v>
      </c>
      <c r="N51" s="1" t="s">
        <v>45</v>
      </c>
      <c r="O51" s="1" t="s">
        <v>172</v>
      </c>
      <c r="P51" s="1" t="s">
        <v>33</v>
      </c>
      <c r="Q51" s="1" t="s">
        <v>32</v>
      </c>
      <c r="R51" s="2">
        <v>45584</v>
      </c>
      <c r="S51" s="1" t="s">
        <v>34</v>
      </c>
      <c r="T51" s="1" t="s">
        <v>35</v>
      </c>
      <c r="U51" s="1" t="s">
        <v>29</v>
      </c>
      <c r="W51" s="1" t="s">
        <v>36</v>
      </c>
      <c r="X51" s="1" t="str">
        <f>IF(urbanthreads_q4[[#This Row],[Qty]]&gt;0,"Valid","Invalid")</f>
        <v>Valid</v>
      </c>
      <c r="Y51" s="1">
        <f>urbanthreads_q4[[#This Row],[Total]]*urbanthreads_q4[[#This Row],[Disc %]]/100</f>
        <v>0</v>
      </c>
      <c r="Z51" s="1">
        <f>urbanthreads_q4[[#This Row],[Total]]-urbanthreads_q4[[#This Row],[Disc %]]</f>
        <v>1998</v>
      </c>
      <c r="AA51" s="1">
        <f>urbanthreads_q4[[#This Row],[Net revenue]]/urbanthreads_q4[[#This Row],[Total]]</f>
        <v>1</v>
      </c>
      <c r="AB51" s="1" t="str">
        <f>TEXT(urbanthreads_q4[[#This Row],[Order Date]],"mm-yyyy")</f>
        <v>10-2024</v>
      </c>
      <c r="AC51" s="1" t="str">
        <f>YEAR(urbanthreads_q4[[#This Row],[Order Date]]) &amp; "-W" &amp; WEEKNUM(urbanthreads_q4[[#This Row],[Order Date]], 2)</f>
        <v>2024-W41</v>
      </c>
      <c r="AD51" s="1" t="str">
        <f>IF(urbanthreads_q4[[#This Row],[Payment]]="COD","COD","Prepaid")</f>
        <v>Prepaid</v>
      </c>
    </row>
    <row r="52" spans="1:30" x14ac:dyDescent="0.3">
      <c r="A52" s="1" t="s">
        <v>1457</v>
      </c>
      <c r="B52" s="2">
        <v>45655</v>
      </c>
      <c r="C52" s="1" t="s">
        <v>1454</v>
      </c>
      <c r="D52" s="1" t="s">
        <v>25</v>
      </c>
      <c r="E52" s="1" t="s">
        <v>1458</v>
      </c>
      <c r="F52" s="1" t="s">
        <v>41</v>
      </c>
      <c r="G52" s="1" t="s">
        <v>1459</v>
      </c>
      <c r="H52">
        <v>3899</v>
      </c>
      <c r="I52">
        <v>1</v>
      </c>
      <c r="J52">
        <v>3899</v>
      </c>
      <c r="K52" s="1" t="s">
        <v>29</v>
      </c>
      <c r="L52">
        <v>0</v>
      </c>
      <c r="M52" s="1" t="s">
        <v>44</v>
      </c>
      <c r="N52" s="1" t="s">
        <v>45</v>
      </c>
      <c r="O52" s="1" t="s">
        <v>113</v>
      </c>
      <c r="P52" s="1" t="s">
        <v>114</v>
      </c>
      <c r="Q52" s="1" t="s">
        <v>46</v>
      </c>
      <c r="R52" s="2">
        <v>45683</v>
      </c>
      <c r="S52" s="1" t="s">
        <v>34</v>
      </c>
      <c r="T52" s="1" t="s">
        <v>47</v>
      </c>
      <c r="U52" s="1" t="s">
        <v>48</v>
      </c>
      <c r="V52" s="2">
        <v>45711</v>
      </c>
      <c r="W52" s="1" t="s">
        <v>49</v>
      </c>
      <c r="X52" s="1" t="str">
        <f>IF(urbanthreads_q4[[#This Row],[Qty]]&gt;0,"Valid","Invalid")</f>
        <v>Valid</v>
      </c>
      <c r="Y52" s="1">
        <f>urbanthreads_q4[[#This Row],[Total]]*urbanthreads_q4[[#This Row],[Disc %]]/100</f>
        <v>0</v>
      </c>
      <c r="Z52" s="1">
        <f>urbanthreads_q4[[#This Row],[Total]]-urbanthreads_q4[[#This Row],[Disc %]]</f>
        <v>3899</v>
      </c>
      <c r="AA52" s="1">
        <f>urbanthreads_q4[[#This Row],[Net revenue]]/urbanthreads_q4[[#This Row],[Total]]</f>
        <v>1</v>
      </c>
      <c r="AB52" s="1" t="str">
        <f>TEXT(urbanthreads_q4[[#This Row],[Order Date]],"mm-yyyy")</f>
        <v>12-2024</v>
      </c>
      <c r="AC52" s="1" t="str">
        <f>YEAR(urbanthreads_q4[[#This Row],[Order Date]]) &amp; "-W" &amp; WEEKNUM(urbanthreads_q4[[#This Row],[Order Date]], 2)</f>
        <v>2024-W52</v>
      </c>
      <c r="AD52" s="1" t="str">
        <f>IF(urbanthreads_q4[[#This Row],[Payment]]="COD","COD","Prepaid")</f>
        <v>Prepaid</v>
      </c>
    </row>
    <row r="53" spans="1:30" x14ac:dyDescent="0.3">
      <c r="A53" s="1" t="s">
        <v>299</v>
      </c>
      <c r="B53" s="2">
        <v>45578</v>
      </c>
      <c r="C53" s="1" t="s">
        <v>300</v>
      </c>
      <c r="D53" s="1" t="s">
        <v>25</v>
      </c>
      <c r="E53" s="1" t="s">
        <v>301</v>
      </c>
      <c r="F53" s="1" t="s">
        <v>27</v>
      </c>
      <c r="G53" s="1" t="s">
        <v>302</v>
      </c>
      <c r="H53">
        <v>1699</v>
      </c>
      <c r="I53">
        <v>1</v>
      </c>
      <c r="J53">
        <v>1699</v>
      </c>
      <c r="K53" s="1" t="s">
        <v>111</v>
      </c>
      <c r="L53">
        <v>10</v>
      </c>
      <c r="M53" s="1" t="s">
        <v>44</v>
      </c>
      <c r="N53" s="1" t="s">
        <v>31</v>
      </c>
      <c r="O53" s="1" t="s">
        <v>182</v>
      </c>
      <c r="P53" s="1" t="s">
        <v>183</v>
      </c>
      <c r="Q53" s="1" t="s">
        <v>57</v>
      </c>
      <c r="R53" s="2">
        <v>45586</v>
      </c>
      <c r="S53" s="1" t="s">
        <v>34</v>
      </c>
      <c r="T53" s="1" t="s">
        <v>35</v>
      </c>
      <c r="U53" s="1" t="s">
        <v>29</v>
      </c>
      <c r="W53" s="1" t="s">
        <v>36</v>
      </c>
      <c r="X53" s="1" t="str">
        <f>IF(urbanthreads_q4[[#This Row],[Qty]]&gt;0,"Valid","Invalid")</f>
        <v>Valid</v>
      </c>
      <c r="Y53" s="1">
        <f>urbanthreads_q4[[#This Row],[Total]]*urbanthreads_q4[[#This Row],[Disc %]]/100</f>
        <v>169.9</v>
      </c>
      <c r="Z53" s="1">
        <f>urbanthreads_q4[[#This Row],[Total]]-urbanthreads_q4[[#This Row],[Disc %]]</f>
        <v>1689</v>
      </c>
      <c r="AA53" s="1">
        <f>urbanthreads_q4[[#This Row],[Net revenue]]/urbanthreads_q4[[#This Row],[Total]]</f>
        <v>0.99411418481459679</v>
      </c>
      <c r="AB53" s="1" t="str">
        <f>TEXT(urbanthreads_q4[[#This Row],[Order Date]],"mm-yyyy")</f>
        <v>10-2024</v>
      </c>
      <c r="AC53" s="1" t="str">
        <f>YEAR(urbanthreads_q4[[#This Row],[Order Date]]) &amp; "-W" &amp; WEEKNUM(urbanthreads_q4[[#This Row],[Order Date]], 2)</f>
        <v>2024-W41</v>
      </c>
      <c r="AD53" s="1" t="str">
        <f>IF(urbanthreads_q4[[#This Row],[Payment]]="COD","COD","Prepaid")</f>
        <v>Prepaid</v>
      </c>
    </row>
    <row r="54" spans="1:30" x14ac:dyDescent="0.3">
      <c r="A54" s="1" t="s">
        <v>1237</v>
      </c>
      <c r="B54" s="2">
        <v>45642</v>
      </c>
      <c r="C54" s="1" t="s">
        <v>1238</v>
      </c>
      <c r="D54" s="1" t="s">
        <v>25</v>
      </c>
      <c r="E54" s="1" t="s">
        <v>1239</v>
      </c>
      <c r="F54" s="1" t="s">
        <v>41</v>
      </c>
      <c r="G54" s="1" t="s">
        <v>1240</v>
      </c>
      <c r="H54">
        <v>3899</v>
      </c>
      <c r="I54">
        <v>1</v>
      </c>
      <c r="J54">
        <v>3899</v>
      </c>
      <c r="K54" s="1" t="s">
        <v>995</v>
      </c>
      <c r="L54">
        <v>20</v>
      </c>
      <c r="M54" s="1" t="s">
        <v>44</v>
      </c>
      <c r="N54" s="1" t="s">
        <v>31</v>
      </c>
      <c r="O54" s="1" t="s">
        <v>57</v>
      </c>
      <c r="P54" s="1" t="s">
        <v>58</v>
      </c>
      <c r="Q54" s="1" t="s">
        <v>57</v>
      </c>
      <c r="R54" s="2">
        <v>45661</v>
      </c>
      <c r="S54" s="1" t="s">
        <v>34</v>
      </c>
      <c r="T54" s="1" t="s">
        <v>47</v>
      </c>
      <c r="U54" s="1" t="s">
        <v>48</v>
      </c>
      <c r="V54" s="2">
        <v>45689</v>
      </c>
      <c r="W54" s="1" t="s">
        <v>49</v>
      </c>
      <c r="X54" s="1" t="str">
        <f>IF(urbanthreads_q4[[#This Row],[Qty]]&gt;0,"Valid","Invalid")</f>
        <v>Valid</v>
      </c>
      <c r="Y54" s="1">
        <f>urbanthreads_q4[[#This Row],[Total]]*urbanthreads_q4[[#This Row],[Disc %]]/100</f>
        <v>779.8</v>
      </c>
      <c r="Z54" s="1">
        <f>urbanthreads_q4[[#This Row],[Total]]-urbanthreads_q4[[#This Row],[Disc %]]</f>
        <v>3879</v>
      </c>
      <c r="AA54" s="1">
        <f>urbanthreads_q4[[#This Row],[Net revenue]]/urbanthreads_q4[[#This Row],[Total]]</f>
        <v>0.9948704796101564</v>
      </c>
      <c r="AB54" s="1" t="str">
        <f>TEXT(urbanthreads_q4[[#This Row],[Order Date]],"mm-yyyy")</f>
        <v>12-2024</v>
      </c>
      <c r="AC54" s="1" t="str">
        <f>YEAR(urbanthreads_q4[[#This Row],[Order Date]]) &amp; "-W" &amp; WEEKNUM(urbanthreads_q4[[#This Row],[Order Date]], 2)</f>
        <v>2024-W51</v>
      </c>
      <c r="AD54" s="1" t="str">
        <f>IF(urbanthreads_q4[[#This Row],[Payment]]="COD","COD","Prepaid")</f>
        <v>Prepaid</v>
      </c>
    </row>
    <row r="55" spans="1:30" x14ac:dyDescent="0.3">
      <c r="A55" s="1" t="s">
        <v>307</v>
      </c>
      <c r="B55" s="2">
        <v>45578</v>
      </c>
      <c r="C55" s="1" t="s">
        <v>308</v>
      </c>
      <c r="D55" s="1" t="s">
        <v>39</v>
      </c>
      <c r="E55" s="1" t="s">
        <v>309</v>
      </c>
      <c r="F55" s="1" t="s">
        <v>72</v>
      </c>
      <c r="G55" s="1" t="s">
        <v>310</v>
      </c>
      <c r="H55">
        <v>1299</v>
      </c>
      <c r="I55">
        <v>1</v>
      </c>
      <c r="J55">
        <v>1299</v>
      </c>
      <c r="K55" s="1" t="s">
        <v>29</v>
      </c>
      <c r="L55">
        <v>0</v>
      </c>
      <c r="M55" s="1" t="s">
        <v>56</v>
      </c>
      <c r="N55" s="1" t="s">
        <v>66</v>
      </c>
      <c r="O55" s="1" t="s">
        <v>194</v>
      </c>
      <c r="P55" s="1" t="s">
        <v>183</v>
      </c>
      <c r="Q55" s="1" t="s">
        <v>57</v>
      </c>
      <c r="R55" s="2">
        <v>45587</v>
      </c>
      <c r="S55" s="1" t="s">
        <v>34</v>
      </c>
      <c r="T55" s="1" t="s">
        <v>35</v>
      </c>
      <c r="U55" s="1" t="s">
        <v>29</v>
      </c>
      <c r="W55" s="1" t="s">
        <v>36</v>
      </c>
      <c r="X55" s="1" t="str">
        <f>IF(urbanthreads_q4[[#This Row],[Qty]]&gt;0,"Valid","Invalid")</f>
        <v>Valid</v>
      </c>
      <c r="Y55" s="1">
        <f>urbanthreads_q4[[#This Row],[Total]]*urbanthreads_q4[[#This Row],[Disc %]]/100</f>
        <v>0</v>
      </c>
      <c r="Z55" s="1">
        <f>urbanthreads_q4[[#This Row],[Total]]-urbanthreads_q4[[#This Row],[Disc %]]</f>
        <v>1299</v>
      </c>
      <c r="AA55" s="1">
        <f>urbanthreads_q4[[#This Row],[Net revenue]]/urbanthreads_q4[[#This Row],[Total]]</f>
        <v>1</v>
      </c>
      <c r="AB55" s="1" t="str">
        <f>TEXT(urbanthreads_q4[[#This Row],[Order Date]],"mm-yyyy")</f>
        <v>10-2024</v>
      </c>
      <c r="AC55" s="1" t="str">
        <f>YEAR(urbanthreads_q4[[#This Row],[Order Date]]) &amp; "-W" &amp; WEEKNUM(urbanthreads_q4[[#This Row],[Order Date]], 2)</f>
        <v>2024-W41</v>
      </c>
      <c r="AD55" s="1" t="str">
        <f>IF(urbanthreads_q4[[#This Row],[Payment]]="COD","COD","Prepaid")</f>
        <v>COD</v>
      </c>
    </row>
    <row r="56" spans="1:30" x14ac:dyDescent="0.3">
      <c r="A56" s="1" t="s">
        <v>311</v>
      </c>
      <c r="B56" s="2">
        <v>45578</v>
      </c>
      <c r="C56" s="1" t="s">
        <v>312</v>
      </c>
      <c r="D56" s="1" t="s">
        <v>25</v>
      </c>
      <c r="E56" s="1" t="s">
        <v>313</v>
      </c>
      <c r="F56" s="1" t="s">
        <v>54</v>
      </c>
      <c r="G56" s="1" t="s">
        <v>314</v>
      </c>
      <c r="H56">
        <v>2099</v>
      </c>
      <c r="I56">
        <v>1</v>
      </c>
      <c r="J56">
        <v>2099</v>
      </c>
      <c r="K56" s="1" t="s">
        <v>43</v>
      </c>
      <c r="L56">
        <v>20</v>
      </c>
      <c r="M56" s="1" t="s">
        <v>44</v>
      </c>
      <c r="N56" s="1" t="s">
        <v>31</v>
      </c>
      <c r="O56" s="1" t="s">
        <v>199</v>
      </c>
      <c r="P56" s="1" t="s">
        <v>58</v>
      </c>
      <c r="Q56" s="1" t="s">
        <v>57</v>
      </c>
      <c r="R56" s="2">
        <v>45589</v>
      </c>
      <c r="S56" s="1" t="s">
        <v>34</v>
      </c>
      <c r="T56" s="1" t="s">
        <v>35</v>
      </c>
      <c r="U56" s="1" t="s">
        <v>29</v>
      </c>
      <c r="W56" s="1" t="s">
        <v>36</v>
      </c>
      <c r="X56" s="1" t="str">
        <f>IF(urbanthreads_q4[[#This Row],[Qty]]&gt;0,"Valid","Invalid")</f>
        <v>Valid</v>
      </c>
      <c r="Y56" s="1">
        <f>urbanthreads_q4[[#This Row],[Total]]*urbanthreads_q4[[#This Row],[Disc %]]/100</f>
        <v>419.8</v>
      </c>
      <c r="Z56" s="1">
        <f>urbanthreads_q4[[#This Row],[Total]]-urbanthreads_q4[[#This Row],[Disc %]]</f>
        <v>2079</v>
      </c>
      <c r="AA56" s="1">
        <f>urbanthreads_q4[[#This Row],[Net revenue]]/urbanthreads_q4[[#This Row],[Total]]</f>
        <v>0.99047165316817531</v>
      </c>
      <c r="AB56" s="1" t="str">
        <f>TEXT(urbanthreads_q4[[#This Row],[Order Date]],"mm-yyyy")</f>
        <v>10-2024</v>
      </c>
      <c r="AC56" s="1" t="str">
        <f>YEAR(urbanthreads_q4[[#This Row],[Order Date]]) &amp; "-W" &amp; WEEKNUM(urbanthreads_q4[[#This Row],[Order Date]], 2)</f>
        <v>2024-W41</v>
      </c>
      <c r="AD56" s="1" t="str">
        <f>IF(urbanthreads_q4[[#This Row],[Payment]]="COD","COD","Prepaid")</f>
        <v>Prepaid</v>
      </c>
    </row>
    <row r="57" spans="1:30" x14ac:dyDescent="0.3">
      <c r="A57" s="1" t="s">
        <v>1245</v>
      </c>
      <c r="B57" s="2">
        <v>45642</v>
      </c>
      <c r="C57" s="1" t="s">
        <v>1246</v>
      </c>
      <c r="D57" s="1" t="s">
        <v>25</v>
      </c>
      <c r="E57" s="1" t="s">
        <v>1247</v>
      </c>
      <c r="F57" s="1" t="s">
        <v>62</v>
      </c>
      <c r="G57" s="1" t="s">
        <v>1248</v>
      </c>
      <c r="H57">
        <v>5299</v>
      </c>
      <c r="I57">
        <v>1</v>
      </c>
      <c r="J57">
        <v>5299</v>
      </c>
      <c r="K57" s="1" t="s">
        <v>29</v>
      </c>
      <c r="L57">
        <v>0</v>
      </c>
      <c r="M57" s="1" t="s">
        <v>56</v>
      </c>
      <c r="N57" s="1" t="s">
        <v>66</v>
      </c>
      <c r="O57" s="1" t="s">
        <v>46</v>
      </c>
      <c r="P57" s="1" t="s">
        <v>46</v>
      </c>
      <c r="Q57" s="1" t="s">
        <v>46</v>
      </c>
      <c r="R57" s="2">
        <v>45662</v>
      </c>
      <c r="S57" s="1" t="s">
        <v>34</v>
      </c>
      <c r="T57" s="1" t="s">
        <v>47</v>
      </c>
      <c r="U57" s="1" t="s">
        <v>80</v>
      </c>
      <c r="V57" s="2">
        <v>45690</v>
      </c>
      <c r="W57" s="1" t="s">
        <v>49</v>
      </c>
      <c r="X57" s="1" t="str">
        <f>IF(urbanthreads_q4[[#This Row],[Qty]]&gt;0,"Valid","Invalid")</f>
        <v>Valid</v>
      </c>
      <c r="Y57" s="1">
        <f>urbanthreads_q4[[#This Row],[Total]]*urbanthreads_q4[[#This Row],[Disc %]]/100</f>
        <v>0</v>
      </c>
      <c r="Z57" s="1">
        <f>urbanthreads_q4[[#This Row],[Total]]-urbanthreads_q4[[#This Row],[Disc %]]</f>
        <v>5299</v>
      </c>
      <c r="AA57" s="1">
        <f>urbanthreads_q4[[#This Row],[Net revenue]]/urbanthreads_q4[[#This Row],[Total]]</f>
        <v>1</v>
      </c>
      <c r="AB57" s="1" t="str">
        <f>TEXT(urbanthreads_q4[[#This Row],[Order Date]],"mm-yyyy")</f>
        <v>12-2024</v>
      </c>
      <c r="AC57" s="1" t="str">
        <f>YEAR(urbanthreads_q4[[#This Row],[Order Date]]) &amp; "-W" &amp; WEEKNUM(urbanthreads_q4[[#This Row],[Order Date]], 2)</f>
        <v>2024-W51</v>
      </c>
      <c r="AD57" s="1" t="str">
        <f>IF(urbanthreads_q4[[#This Row],[Payment]]="COD","COD","Prepaid")</f>
        <v>COD</v>
      </c>
    </row>
    <row r="58" spans="1:30" x14ac:dyDescent="0.3">
      <c r="A58" s="1" t="s">
        <v>319</v>
      </c>
      <c r="B58" s="2">
        <v>45579</v>
      </c>
      <c r="C58" s="1" t="s">
        <v>320</v>
      </c>
      <c r="D58" s="1" t="s">
        <v>25</v>
      </c>
      <c r="E58" s="1" t="s">
        <v>321</v>
      </c>
      <c r="F58" s="1" t="s">
        <v>27</v>
      </c>
      <c r="G58" s="1" t="s">
        <v>322</v>
      </c>
      <c r="H58">
        <v>1499</v>
      </c>
      <c r="I58">
        <v>1</v>
      </c>
      <c r="J58">
        <v>1499</v>
      </c>
      <c r="K58" s="1" t="s">
        <v>29</v>
      </c>
      <c r="L58">
        <v>0</v>
      </c>
      <c r="M58" s="1" t="s">
        <v>112</v>
      </c>
      <c r="N58" s="1" t="s">
        <v>31</v>
      </c>
      <c r="O58" s="1" t="s">
        <v>209</v>
      </c>
      <c r="P58" s="1" t="s">
        <v>98</v>
      </c>
      <c r="Q58" s="1" t="s">
        <v>32</v>
      </c>
      <c r="R58" s="2">
        <v>45587</v>
      </c>
      <c r="S58" s="1" t="s">
        <v>34</v>
      </c>
      <c r="T58" s="1" t="s">
        <v>35</v>
      </c>
      <c r="U58" s="1" t="s">
        <v>29</v>
      </c>
      <c r="W58" s="1" t="s">
        <v>36</v>
      </c>
      <c r="X58" s="1" t="str">
        <f>IF(urbanthreads_q4[[#This Row],[Qty]]&gt;0,"Valid","Invalid")</f>
        <v>Valid</v>
      </c>
      <c r="Y58" s="1">
        <f>urbanthreads_q4[[#This Row],[Total]]*urbanthreads_q4[[#This Row],[Disc %]]/100</f>
        <v>0</v>
      </c>
      <c r="Z58" s="1">
        <f>urbanthreads_q4[[#This Row],[Total]]-urbanthreads_q4[[#This Row],[Disc %]]</f>
        <v>1499</v>
      </c>
      <c r="AA58" s="1">
        <f>urbanthreads_q4[[#This Row],[Net revenue]]/urbanthreads_q4[[#This Row],[Total]]</f>
        <v>1</v>
      </c>
      <c r="AB58" s="1" t="str">
        <f>TEXT(urbanthreads_q4[[#This Row],[Order Date]],"mm-yyyy")</f>
        <v>10-2024</v>
      </c>
      <c r="AC58" s="1" t="str">
        <f>YEAR(urbanthreads_q4[[#This Row],[Order Date]]) &amp; "-W" &amp; WEEKNUM(urbanthreads_q4[[#This Row],[Order Date]], 2)</f>
        <v>2024-W42</v>
      </c>
      <c r="AD58" s="1" t="str">
        <f>IF(urbanthreads_q4[[#This Row],[Payment]]="COD","COD","Prepaid")</f>
        <v>Prepaid</v>
      </c>
    </row>
    <row r="59" spans="1:30" x14ac:dyDescent="0.3">
      <c r="A59" s="1" t="s">
        <v>1253</v>
      </c>
      <c r="B59" s="2">
        <v>45643</v>
      </c>
      <c r="C59" s="1" t="s">
        <v>1254</v>
      </c>
      <c r="D59" s="1" t="s">
        <v>25</v>
      </c>
      <c r="E59" s="1" t="s">
        <v>1255</v>
      </c>
      <c r="F59" s="1" t="s">
        <v>27</v>
      </c>
      <c r="G59" s="1" t="s">
        <v>1256</v>
      </c>
      <c r="H59">
        <v>1799</v>
      </c>
      <c r="I59">
        <v>1</v>
      </c>
      <c r="J59">
        <v>1799</v>
      </c>
      <c r="K59" s="1" t="s">
        <v>29</v>
      </c>
      <c r="L59">
        <v>0</v>
      </c>
      <c r="M59" s="1" t="s">
        <v>65</v>
      </c>
      <c r="N59" s="1" t="s">
        <v>45</v>
      </c>
      <c r="O59" s="1" t="s">
        <v>138</v>
      </c>
      <c r="P59" s="1" t="s">
        <v>114</v>
      </c>
      <c r="Q59" s="1" t="s">
        <v>46</v>
      </c>
      <c r="R59" s="2">
        <v>45662</v>
      </c>
      <c r="S59" s="1" t="s">
        <v>34</v>
      </c>
      <c r="T59" s="1" t="s">
        <v>47</v>
      </c>
      <c r="U59" s="1" t="s">
        <v>69</v>
      </c>
      <c r="V59" s="2">
        <v>45689</v>
      </c>
      <c r="W59" s="1" t="s">
        <v>49</v>
      </c>
      <c r="X59" s="1" t="str">
        <f>IF(urbanthreads_q4[[#This Row],[Qty]]&gt;0,"Valid","Invalid")</f>
        <v>Valid</v>
      </c>
      <c r="Y59" s="1">
        <f>urbanthreads_q4[[#This Row],[Total]]*urbanthreads_q4[[#This Row],[Disc %]]/100</f>
        <v>0</v>
      </c>
      <c r="Z59" s="1">
        <f>urbanthreads_q4[[#This Row],[Total]]-urbanthreads_q4[[#This Row],[Disc %]]</f>
        <v>1799</v>
      </c>
      <c r="AA59" s="1">
        <f>urbanthreads_q4[[#This Row],[Net revenue]]/urbanthreads_q4[[#This Row],[Total]]</f>
        <v>1</v>
      </c>
      <c r="AB59" s="1" t="str">
        <f>TEXT(urbanthreads_q4[[#This Row],[Order Date]],"mm-yyyy")</f>
        <v>12-2024</v>
      </c>
      <c r="AC59" s="1" t="str">
        <f>YEAR(urbanthreads_q4[[#This Row],[Order Date]]) &amp; "-W" &amp; WEEKNUM(urbanthreads_q4[[#This Row],[Order Date]], 2)</f>
        <v>2024-W51</v>
      </c>
      <c r="AD59" s="1" t="str">
        <f>IF(urbanthreads_q4[[#This Row],[Payment]]="COD","COD","Prepaid")</f>
        <v>Prepaid</v>
      </c>
    </row>
    <row r="60" spans="1:30" x14ac:dyDescent="0.3">
      <c r="A60" s="1" t="s">
        <v>327</v>
      </c>
      <c r="B60" s="2">
        <v>45579</v>
      </c>
      <c r="C60" s="1" t="s">
        <v>328</v>
      </c>
      <c r="D60" s="1" t="s">
        <v>25</v>
      </c>
      <c r="E60" s="1" t="s">
        <v>329</v>
      </c>
      <c r="F60" s="1" t="s">
        <v>72</v>
      </c>
      <c r="G60" s="1" t="s">
        <v>330</v>
      </c>
      <c r="H60">
        <v>899</v>
      </c>
      <c r="I60">
        <v>1</v>
      </c>
      <c r="J60">
        <v>899</v>
      </c>
      <c r="K60" s="1" t="s">
        <v>29</v>
      </c>
      <c r="L60">
        <v>0</v>
      </c>
      <c r="M60" s="1" t="s">
        <v>44</v>
      </c>
      <c r="N60" s="1" t="s">
        <v>45</v>
      </c>
      <c r="O60" s="1" t="s">
        <v>32</v>
      </c>
      <c r="P60" s="1" t="s">
        <v>33</v>
      </c>
      <c r="Q60" s="1" t="s">
        <v>32</v>
      </c>
      <c r="R60" s="2">
        <v>45588</v>
      </c>
      <c r="S60" s="1" t="s">
        <v>34</v>
      </c>
      <c r="T60" s="1" t="s">
        <v>35</v>
      </c>
      <c r="U60" s="1" t="s">
        <v>29</v>
      </c>
      <c r="W60" s="1" t="s">
        <v>36</v>
      </c>
      <c r="X60" s="1" t="str">
        <f>IF(urbanthreads_q4[[#This Row],[Qty]]&gt;0,"Valid","Invalid")</f>
        <v>Valid</v>
      </c>
      <c r="Y60" s="1">
        <f>urbanthreads_q4[[#This Row],[Total]]*urbanthreads_q4[[#This Row],[Disc %]]/100</f>
        <v>0</v>
      </c>
      <c r="Z60" s="1">
        <f>urbanthreads_q4[[#This Row],[Total]]-urbanthreads_q4[[#This Row],[Disc %]]</f>
        <v>899</v>
      </c>
      <c r="AA60" s="1">
        <f>urbanthreads_q4[[#This Row],[Net revenue]]/urbanthreads_q4[[#This Row],[Total]]</f>
        <v>1</v>
      </c>
      <c r="AB60" s="1" t="str">
        <f>TEXT(urbanthreads_q4[[#This Row],[Order Date]],"mm-yyyy")</f>
        <v>10-2024</v>
      </c>
      <c r="AC60" s="1" t="str">
        <f>YEAR(urbanthreads_q4[[#This Row],[Order Date]]) &amp; "-W" &amp; WEEKNUM(urbanthreads_q4[[#This Row],[Order Date]], 2)</f>
        <v>2024-W42</v>
      </c>
      <c r="AD60" s="1" t="str">
        <f>IF(urbanthreads_q4[[#This Row],[Payment]]="COD","COD","Prepaid")</f>
        <v>Prepaid</v>
      </c>
    </row>
    <row r="61" spans="1:30" x14ac:dyDescent="0.3">
      <c r="A61" s="1" t="s">
        <v>331</v>
      </c>
      <c r="B61" s="2">
        <v>45580</v>
      </c>
      <c r="C61" s="1" t="s">
        <v>332</v>
      </c>
      <c r="D61" s="1" t="s">
        <v>25</v>
      </c>
      <c r="E61" s="1" t="s">
        <v>333</v>
      </c>
      <c r="F61" s="1" t="s">
        <v>54</v>
      </c>
      <c r="G61" s="1" t="s">
        <v>334</v>
      </c>
      <c r="H61">
        <v>1799</v>
      </c>
      <c r="I61">
        <v>1</v>
      </c>
      <c r="J61">
        <v>1799</v>
      </c>
      <c r="K61" s="1" t="s">
        <v>29</v>
      </c>
      <c r="L61">
        <v>0</v>
      </c>
      <c r="M61" s="1" t="s">
        <v>56</v>
      </c>
      <c r="N61" s="1" t="s">
        <v>31</v>
      </c>
      <c r="O61" s="1" t="s">
        <v>46</v>
      </c>
      <c r="P61" s="1" t="s">
        <v>46</v>
      </c>
      <c r="Q61" s="1" t="s">
        <v>46</v>
      </c>
      <c r="S61" s="1" t="s">
        <v>121</v>
      </c>
      <c r="T61" s="1" t="s">
        <v>35</v>
      </c>
      <c r="U61" s="1" t="s">
        <v>29</v>
      </c>
      <c r="W61" s="1" t="s">
        <v>36</v>
      </c>
      <c r="X61" s="1" t="str">
        <f>IF(urbanthreads_q4[[#This Row],[Qty]]&gt;0,"Valid","Invalid")</f>
        <v>Valid</v>
      </c>
      <c r="Y61" s="1">
        <f>urbanthreads_q4[[#This Row],[Total]]*urbanthreads_q4[[#This Row],[Disc %]]/100</f>
        <v>0</v>
      </c>
      <c r="Z61" s="1">
        <f>urbanthreads_q4[[#This Row],[Total]]-urbanthreads_q4[[#This Row],[Disc %]]</f>
        <v>1799</v>
      </c>
      <c r="AA61" s="1">
        <f>urbanthreads_q4[[#This Row],[Net revenue]]/urbanthreads_q4[[#This Row],[Total]]</f>
        <v>1</v>
      </c>
      <c r="AB61" s="1" t="str">
        <f>TEXT(urbanthreads_q4[[#This Row],[Order Date]],"mm-yyyy")</f>
        <v>10-2024</v>
      </c>
      <c r="AC61" s="1" t="str">
        <f>YEAR(urbanthreads_q4[[#This Row],[Order Date]]) &amp; "-W" &amp; WEEKNUM(urbanthreads_q4[[#This Row],[Order Date]], 2)</f>
        <v>2024-W42</v>
      </c>
      <c r="AD61" s="1" t="str">
        <f>IF(urbanthreads_q4[[#This Row],[Payment]]="COD","COD","Prepaid")</f>
        <v>COD</v>
      </c>
    </row>
    <row r="62" spans="1:30" x14ac:dyDescent="0.3">
      <c r="A62" s="1" t="s">
        <v>1257</v>
      </c>
      <c r="B62" s="2">
        <v>45643</v>
      </c>
      <c r="C62" s="1" t="s">
        <v>1258</v>
      </c>
      <c r="D62" s="1" t="s">
        <v>25</v>
      </c>
      <c r="E62" s="1" t="s">
        <v>1259</v>
      </c>
      <c r="F62" s="1" t="s">
        <v>41</v>
      </c>
      <c r="G62" s="1" t="s">
        <v>1260</v>
      </c>
      <c r="H62">
        <v>4199</v>
      </c>
      <c r="I62">
        <v>1</v>
      </c>
      <c r="J62">
        <v>4199</v>
      </c>
      <c r="K62" s="1" t="s">
        <v>29</v>
      </c>
      <c r="L62">
        <v>0</v>
      </c>
      <c r="M62" s="1" t="s">
        <v>44</v>
      </c>
      <c r="N62" s="1" t="s">
        <v>66</v>
      </c>
      <c r="O62" s="1" t="s">
        <v>144</v>
      </c>
      <c r="P62" s="1" t="s">
        <v>145</v>
      </c>
      <c r="Q62" s="1" t="s">
        <v>46</v>
      </c>
      <c r="R62" s="2">
        <v>45663</v>
      </c>
      <c r="S62" s="1" t="s">
        <v>34</v>
      </c>
      <c r="T62" s="1" t="s">
        <v>47</v>
      </c>
      <c r="U62" s="1" t="s">
        <v>48</v>
      </c>
      <c r="V62" s="2">
        <v>45691</v>
      </c>
      <c r="W62" s="1" t="s">
        <v>49</v>
      </c>
      <c r="X62" s="1" t="str">
        <f>IF(urbanthreads_q4[[#This Row],[Qty]]&gt;0,"Valid","Invalid")</f>
        <v>Valid</v>
      </c>
      <c r="Y62" s="1">
        <f>urbanthreads_q4[[#This Row],[Total]]*urbanthreads_q4[[#This Row],[Disc %]]/100</f>
        <v>0</v>
      </c>
      <c r="Z62" s="1">
        <f>urbanthreads_q4[[#This Row],[Total]]-urbanthreads_q4[[#This Row],[Disc %]]</f>
        <v>4199</v>
      </c>
      <c r="AA62" s="1">
        <f>urbanthreads_q4[[#This Row],[Net revenue]]/urbanthreads_q4[[#This Row],[Total]]</f>
        <v>1</v>
      </c>
      <c r="AB62" s="1" t="str">
        <f>TEXT(urbanthreads_q4[[#This Row],[Order Date]],"mm-yyyy")</f>
        <v>12-2024</v>
      </c>
      <c r="AC62" s="1" t="str">
        <f>YEAR(urbanthreads_q4[[#This Row],[Order Date]]) &amp; "-W" &amp; WEEKNUM(urbanthreads_q4[[#This Row],[Order Date]], 2)</f>
        <v>2024-W51</v>
      </c>
      <c r="AD62" s="1" t="str">
        <f>IF(urbanthreads_q4[[#This Row],[Payment]]="COD","COD","Prepaid")</f>
        <v>Prepaid</v>
      </c>
    </row>
    <row r="63" spans="1:30" x14ac:dyDescent="0.3">
      <c r="A63" s="1" t="s">
        <v>339</v>
      </c>
      <c r="B63" s="2">
        <v>45580</v>
      </c>
      <c r="C63" s="1" t="s">
        <v>340</v>
      </c>
      <c r="D63" s="1" t="s">
        <v>39</v>
      </c>
      <c r="E63" s="1" t="s">
        <v>341</v>
      </c>
      <c r="F63" s="1" t="s">
        <v>27</v>
      </c>
      <c r="G63" s="1" t="s">
        <v>342</v>
      </c>
      <c r="H63">
        <v>1399</v>
      </c>
      <c r="I63">
        <v>1</v>
      </c>
      <c r="J63">
        <v>1399</v>
      </c>
      <c r="K63" s="1" t="s">
        <v>29</v>
      </c>
      <c r="L63">
        <v>0</v>
      </c>
      <c r="M63" s="1" t="s">
        <v>30</v>
      </c>
      <c r="N63" s="1" t="s">
        <v>45</v>
      </c>
      <c r="O63" s="1" t="s">
        <v>67</v>
      </c>
      <c r="P63" s="1" t="s">
        <v>68</v>
      </c>
      <c r="Q63" s="1" t="s">
        <v>57</v>
      </c>
      <c r="R63" s="2">
        <v>45589</v>
      </c>
      <c r="S63" s="1" t="s">
        <v>34</v>
      </c>
      <c r="T63" s="1" t="s">
        <v>35</v>
      </c>
      <c r="U63" s="1" t="s">
        <v>29</v>
      </c>
      <c r="W63" s="1" t="s">
        <v>36</v>
      </c>
      <c r="X63" s="1" t="str">
        <f>IF(urbanthreads_q4[[#This Row],[Qty]]&gt;0,"Valid","Invalid")</f>
        <v>Valid</v>
      </c>
      <c r="Y63" s="1">
        <f>urbanthreads_q4[[#This Row],[Total]]*urbanthreads_q4[[#This Row],[Disc %]]/100</f>
        <v>0</v>
      </c>
      <c r="Z63" s="1">
        <f>urbanthreads_q4[[#This Row],[Total]]-urbanthreads_q4[[#This Row],[Disc %]]</f>
        <v>1399</v>
      </c>
      <c r="AA63" s="1">
        <f>urbanthreads_q4[[#This Row],[Net revenue]]/urbanthreads_q4[[#This Row],[Total]]</f>
        <v>1</v>
      </c>
      <c r="AB63" s="1" t="str">
        <f>TEXT(urbanthreads_q4[[#This Row],[Order Date]],"mm-yyyy")</f>
        <v>10-2024</v>
      </c>
      <c r="AC63" s="1" t="str">
        <f>YEAR(urbanthreads_q4[[#This Row],[Order Date]]) &amp; "-W" &amp; WEEKNUM(urbanthreads_q4[[#This Row],[Order Date]], 2)</f>
        <v>2024-W42</v>
      </c>
      <c r="AD63" s="1" t="str">
        <f>IF(urbanthreads_q4[[#This Row],[Payment]]="COD","COD","Prepaid")</f>
        <v>Prepaid</v>
      </c>
    </row>
    <row r="64" spans="1:30" x14ac:dyDescent="0.3">
      <c r="A64" s="1" t="s">
        <v>1265</v>
      </c>
      <c r="B64" s="2">
        <v>45643</v>
      </c>
      <c r="C64" s="1" t="s">
        <v>1266</v>
      </c>
      <c r="D64" s="1" t="s">
        <v>25</v>
      </c>
      <c r="E64" s="1" t="s">
        <v>1267</v>
      </c>
      <c r="F64" s="1" t="s">
        <v>62</v>
      </c>
      <c r="G64" s="1" t="s">
        <v>1268</v>
      </c>
      <c r="H64">
        <v>5499</v>
      </c>
      <c r="I64">
        <v>1</v>
      </c>
      <c r="J64">
        <v>5499</v>
      </c>
      <c r="K64" s="1" t="s">
        <v>29</v>
      </c>
      <c r="L64">
        <v>0</v>
      </c>
      <c r="M64" s="1" t="s">
        <v>56</v>
      </c>
      <c r="N64" s="1" t="s">
        <v>45</v>
      </c>
      <c r="O64" s="1" t="s">
        <v>156</v>
      </c>
      <c r="P64" s="1" t="s">
        <v>98</v>
      </c>
      <c r="Q64" s="1" t="s">
        <v>32</v>
      </c>
      <c r="R64" s="2">
        <v>45664</v>
      </c>
      <c r="S64" s="1" t="s">
        <v>34</v>
      </c>
      <c r="T64" s="1" t="s">
        <v>47</v>
      </c>
      <c r="U64" s="1" t="s">
        <v>105</v>
      </c>
      <c r="V64" s="2">
        <v>45692</v>
      </c>
      <c r="W64" s="1" t="s">
        <v>49</v>
      </c>
      <c r="X64" s="1" t="str">
        <f>IF(urbanthreads_q4[[#This Row],[Qty]]&gt;0,"Valid","Invalid")</f>
        <v>Valid</v>
      </c>
      <c r="Y64" s="1">
        <f>urbanthreads_q4[[#This Row],[Total]]*urbanthreads_q4[[#This Row],[Disc %]]/100</f>
        <v>0</v>
      </c>
      <c r="Z64" s="1">
        <f>urbanthreads_q4[[#This Row],[Total]]-urbanthreads_q4[[#This Row],[Disc %]]</f>
        <v>5499</v>
      </c>
      <c r="AA64" s="1">
        <f>urbanthreads_q4[[#This Row],[Net revenue]]/urbanthreads_q4[[#This Row],[Total]]</f>
        <v>1</v>
      </c>
      <c r="AB64" s="1" t="str">
        <f>TEXT(urbanthreads_q4[[#This Row],[Order Date]],"mm-yyyy")</f>
        <v>12-2024</v>
      </c>
      <c r="AC64" s="1" t="str">
        <f>YEAR(urbanthreads_q4[[#This Row],[Order Date]]) &amp; "-W" &amp; WEEKNUM(urbanthreads_q4[[#This Row],[Order Date]], 2)</f>
        <v>2024-W51</v>
      </c>
      <c r="AD64" s="1" t="str">
        <f>IF(urbanthreads_q4[[#This Row],[Payment]]="COD","COD","Prepaid")</f>
        <v>COD</v>
      </c>
    </row>
    <row r="65" spans="1:30" x14ac:dyDescent="0.3">
      <c r="A65" s="1" t="s">
        <v>347</v>
      </c>
      <c r="B65" s="2">
        <v>45581</v>
      </c>
      <c r="C65" s="1" t="s">
        <v>348</v>
      </c>
      <c r="D65" s="1" t="s">
        <v>25</v>
      </c>
      <c r="E65" s="1" t="s">
        <v>349</v>
      </c>
      <c r="F65" s="1" t="s">
        <v>72</v>
      </c>
      <c r="G65" s="1" t="s">
        <v>350</v>
      </c>
      <c r="H65">
        <v>699</v>
      </c>
      <c r="I65">
        <v>2</v>
      </c>
      <c r="J65">
        <v>1398</v>
      </c>
      <c r="K65" s="1" t="s">
        <v>111</v>
      </c>
      <c r="L65">
        <v>10</v>
      </c>
      <c r="M65" s="1" t="s">
        <v>112</v>
      </c>
      <c r="N65" s="1" t="s">
        <v>66</v>
      </c>
      <c r="O65" s="1" t="s">
        <v>85</v>
      </c>
      <c r="P65" s="1" t="s">
        <v>33</v>
      </c>
      <c r="Q65" s="1" t="s">
        <v>32</v>
      </c>
      <c r="R65" s="2">
        <v>45590</v>
      </c>
      <c r="S65" s="1" t="s">
        <v>34</v>
      </c>
      <c r="T65" s="1" t="s">
        <v>35</v>
      </c>
      <c r="U65" s="1" t="s">
        <v>29</v>
      </c>
      <c r="W65" s="1" t="s">
        <v>36</v>
      </c>
      <c r="X65" s="1" t="str">
        <f>IF(urbanthreads_q4[[#This Row],[Qty]]&gt;0,"Valid","Invalid")</f>
        <v>Valid</v>
      </c>
      <c r="Y65" s="1">
        <f>urbanthreads_q4[[#This Row],[Total]]*urbanthreads_q4[[#This Row],[Disc %]]/100</f>
        <v>139.80000000000001</v>
      </c>
      <c r="Z65" s="1">
        <f>urbanthreads_q4[[#This Row],[Total]]-urbanthreads_q4[[#This Row],[Disc %]]</f>
        <v>1388</v>
      </c>
      <c r="AA65" s="1">
        <f>urbanthreads_q4[[#This Row],[Net revenue]]/urbanthreads_q4[[#This Row],[Total]]</f>
        <v>0.99284692417739628</v>
      </c>
      <c r="AB65" s="1" t="str">
        <f>TEXT(urbanthreads_q4[[#This Row],[Order Date]],"mm-yyyy")</f>
        <v>10-2024</v>
      </c>
      <c r="AC65" s="1" t="str">
        <f>YEAR(urbanthreads_q4[[#This Row],[Order Date]]) &amp; "-W" &amp; WEEKNUM(urbanthreads_q4[[#This Row],[Order Date]], 2)</f>
        <v>2024-W42</v>
      </c>
      <c r="AD65" s="1" t="str">
        <f>IF(urbanthreads_q4[[#This Row],[Payment]]="COD","COD","Prepaid")</f>
        <v>Prepaid</v>
      </c>
    </row>
    <row r="66" spans="1:30" x14ac:dyDescent="0.3">
      <c r="A66" s="1" t="s">
        <v>1273</v>
      </c>
      <c r="B66" s="2">
        <v>45644</v>
      </c>
      <c r="C66" s="1" t="s">
        <v>1274</v>
      </c>
      <c r="D66" s="1" t="s">
        <v>25</v>
      </c>
      <c r="E66" s="1" t="s">
        <v>1275</v>
      </c>
      <c r="F66" s="1" t="s">
        <v>27</v>
      </c>
      <c r="G66" s="1" t="s">
        <v>1276</v>
      </c>
      <c r="H66">
        <v>2299</v>
      </c>
      <c r="I66">
        <v>1</v>
      </c>
      <c r="J66">
        <v>2299</v>
      </c>
      <c r="K66" s="1" t="s">
        <v>995</v>
      </c>
      <c r="L66">
        <v>20</v>
      </c>
      <c r="M66" s="1" t="s">
        <v>65</v>
      </c>
      <c r="N66" s="1" t="s">
        <v>31</v>
      </c>
      <c r="O66" s="1" t="s">
        <v>167</v>
      </c>
      <c r="P66" s="1" t="s">
        <v>151</v>
      </c>
      <c r="Q66" s="1" t="s">
        <v>32</v>
      </c>
      <c r="R66" s="2">
        <v>45664</v>
      </c>
      <c r="S66" s="1" t="s">
        <v>34</v>
      </c>
      <c r="T66" s="1" t="s">
        <v>47</v>
      </c>
      <c r="U66" s="1" t="s">
        <v>139</v>
      </c>
      <c r="V66" s="2">
        <v>45691</v>
      </c>
      <c r="W66" s="1" t="s">
        <v>49</v>
      </c>
      <c r="X66" s="1" t="str">
        <f>IF(urbanthreads_q4[[#This Row],[Qty]]&gt;0,"Valid","Invalid")</f>
        <v>Valid</v>
      </c>
      <c r="Y66" s="1">
        <f>urbanthreads_q4[[#This Row],[Total]]*urbanthreads_q4[[#This Row],[Disc %]]/100</f>
        <v>459.8</v>
      </c>
      <c r="Z66" s="1">
        <f>urbanthreads_q4[[#This Row],[Total]]-urbanthreads_q4[[#This Row],[Disc %]]</f>
        <v>2279</v>
      </c>
      <c r="AA66" s="1">
        <f>urbanthreads_q4[[#This Row],[Net revenue]]/urbanthreads_q4[[#This Row],[Total]]</f>
        <v>0.99130056546324485</v>
      </c>
      <c r="AB66" s="1" t="str">
        <f>TEXT(urbanthreads_q4[[#This Row],[Order Date]],"mm-yyyy")</f>
        <v>12-2024</v>
      </c>
      <c r="AC66" s="1" t="str">
        <f>YEAR(urbanthreads_q4[[#This Row],[Order Date]]) &amp; "-W" &amp; WEEKNUM(urbanthreads_q4[[#This Row],[Order Date]], 2)</f>
        <v>2024-W51</v>
      </c>
      <c r="AD66" s="1" t="str">
        <f>IF(urbanthreads_q4[[#This Row],[Payment]]="COD","COD","Prepaid")</f>
        <v>Prepaid</v>
      </c>
    </row>
    <row r="67" spans="1:30" x14ac:dyDescent="0.3">
      <c r="A67" s="1" t="s">
        <v>355</v>
      </c>
      <c r="B67" s="2">
        <v>45581</v>
      </c>
      <c r="C67" s="1" t="s">
        <v>356</v>
      </c>
      <c r="D67" s="1" t="s">
        <v>39</v>
      </c>
      <c r="E67" s="1" t="s">
        <v>357</v>
      </c>
      <c r="F67" s="1" t="s">
        <v>41</v>
      </c>
      <c r="G67" s="1" t="s">
        <v>358</v>
      </c>
      <c r="H67">
        <v>2499</v>
      </c>
      <c r="I67">
        <v>1</v>
      </c>
      <c r="J67">
        <v>2499</v>
      </c>
      <c r="K67" s="1" t="s">
        <v>29</v>
      </c>
      <c r="L67">
        <v>0</v>
      </c>
      <c r="M67" s="1" t="s">
        <v>44</v>
      </c>
      <c r="N67" s="1" t="s">
        <v>31</v>
      </c>
      <c r="O67" s="1" t="s">
        <v>103</v>
      </c>
      <c r="P67" s="1" t="s">
        <v>104</v>
      </c>
      <c r="Q67" s="1" t="s">
        <v>46</v>
      </c>
      <c r="R67" s="2">
        <v>45591</v>
      </c>
      <c r="S67" s="1" t="s">
        <v>34</v>
      </c>
      <c r="T67" s="1" t="s">
        <v>35</v>
      </c>
      <c r="U67" s="1" t="s">
        <v>29</v>
      </c>
      <c r="W67" s="1" t="s">
        <v>36</v>
      </c>
      <c r="X67" s="1" t="str">
        <f>IF(urbanthreads_q4[[#This Row],[Qty]]&gt;0,"Valid","Invalid")</f>
        <v>Valid</v>
      </c>
      <c r="Y67" s="1">
        <f>urbanthreads_q4[[#This Row],[Total]]*urbanthreads_q4[[#This Row],[Disc %]]/100</f>
        <v>0</v>
      </c>
      <c r="Z67" s="1">
        <f>urbanthreads_q4[[#This Row],[Total]]-urbanthreads_q4[[#This Row],[Disc %]]</f>
        <v>2499</v>
      </c>
      <c r="AA67" s="1">
        <f>urbanthreads_q4[[#This Row],[Net revenue]]/urbanthreads_q4[[#This Row],[Total]]</f>
        <v>1</v>
      </c>
      <c r="AB67" s="1" t="str">
        <f>TEXT(urbanthreads_q4[[#This Row],[Order Date]],"mm-yyyy")</f>
        <v>10-2024</v>
      </c>
      <c r="AC67" s="1" t="str">
        <f>YEAR(urbanthreads_q4[[#This Row],[Order Date]]) &amp; "-W" &amp; WEEKNUM(urbanthreads_q4[[#This Row],[Order Date]], 2)</f>
        <v>2024-W42</v>
      </c>
      <c r="AD67" s="1" t="str">
        <f>IF(urbanthreads_q4[[#This Row],[Payment]]="COD","COD","Prepaid")</f>
        <v>Prepaid</v>
      </c>
    </row>
    <row r="68" spans="1:30" x14ac:dyDescent="0.3">
      <c r="A68" s="1" t="s">
        <v>1281</v>
      </c>
      <c r="B68" s="2">
        <v>45644</v>
      </c>
      <c r="C68" s="1" t="s">
        <v>1282</v>
      </c>
      <c r="D68" s="1" t="s">
        <v>25</v>
      </c>
      <c r="E68" s="1" t="s">
        <v>1283</v>
      </c>
      <c r="F68" s="1" t="s">
        <v>54</v>
      </c>
      <c r="G68" s="1" t="s">
        <v>1284</v>
      </c>
      <c r="H68">
        <v>2499</v>
      </c>
      <c r="I68">
        <v>1</v>
      </c>
      <c r="J68">
        <v>2499</v>
      </c>
      <c r="K68" s="1" t="s">
        <v>29</v>
      </c>
      <c r="L68">
        <v>0</v>
      </c>
      <c r="M68" s="1" t="s">
        <v>30</v>
      </c>
      <c r="N68" s="1" t="s">
        <v>66</v>
      </c>
      <c r="O68" s="1" t="s">
        <v>177</v>
      </c>
      <c r="P68" s="1" t="s">
        <v>68</v>
      </c>
      <c r="Q68" s="1" t="s">
        <v>57</v>
      </c>
      <c r="R68" s="2">
        <v>45665</v>
      </c>
      <c r="S68" s="1" t="s">
        <v>34</v>
      </c>
      <c r="T68" s="1" t="s">
        <v>47</v>
      </c>
      <c r="U68" s="1" t="s">
        <v>48</v>
      </c>
      <c r="V68" s="2">
        <v>45693</v>
      </c>
      <c r="W68" s="1" t="s">
        <v>49</v>
      </c>
      <c r="X68" s="1" t="str">
        <f>IF(urbanthreads_q4[[#This Row],[Qty]]&gt;0,"Valid","Invalid")</f>
        <v>Valid</v>
      </c>
      <c r="Y68" s="1">
        <f>urbanthreads_q4[[#This Row],[Total]]*urbanthreads_q4[[#This Row],[Disc %]]/100</f>
        <v>0</v>
      </c>
      <c r="Z68" s="1">
        <f>urbanthreads_q4[[#This Row],[Total]]-urbanthreads_q4[[#This Row],[Disc %]]</f>
        <v>2499</v>
      </c>
      <c r="AA68" s="1">
        <f>urbanthreads_q4[[#This Row],[Net revenue]]/urbanthreads_q4[[#This Row],[Total]]</f>
        <v>1</v>
      </c>
      <c r="AB68" s="1" t="str">
        <f>TEXT(urbanthreads_q4[[#This Row],[Order Date]],"mm-yyyy")</f>
        <v>12-2024</v>
      </c>
      <c r="AC68" s="1" t="str">
        <f>YEAR(urbanthreads_q4[[#This Row],[Order Date]]) &amp; "-W" &amp; WEEKNUM(urbanthreads_q4[[#This Row],[Order Date]], 2)</f>
        <v>2024-W51</v>
      </c>
      <c r="AD68" s="1" t="str">
        <f>IF(urbanthreads_q4[[#This Row],[Payment]]="COD","COD","Prepaid")</f>
        <v>Prepaid</v>
      </c>
    </row>
    <row r="69" spans="1:30" x14ac:dyDescent="0.3">
      <c r="A69" s="1" t="s">
        <v>363</v>
      </c>
      <c r="B69" s="2">
        <v>45582</v>
      </c>
      <c r="C69" s="1" t="s">
        <v>364</v>
      </c>
      <c r="D69" s="1" t="s">
        <v>25</v>
      </c>
      <c r="E69" s="1" t="s">
        <v>365</v>
      </c>
      <c r="F69" s="1" t="s">
        <v>62</v>
      </c>
      <c r="G69" s="1" t="s">
        <v>366</v>
      </c>
      <c r="H69">
        <v>1299</v>
      </c>
      <c r="I69">
        <v>1</v>
      </c>
      <c r="J69">
        <v>1299</v>
      </c>
      <c r="K69" s="1" t="s">
        <v>29</v>
      </c>
      <c r="L69">
        <v>0</v>
      </c>
      <c r="M69" s="1" t="s">
        <v>65</v>
      </c>
      <c r="N69" s="1" t="s">
        <v>45</v>
      </c>
      <c r="O69" s="1" t="s">
        <v>57</v>
      </c>
      <c r="P69" s="1" t="s">
        <v>58</v>
      </c>
      <c r="Q69" s="1" t="s">
        <v>57</v>
      </c>
      <c r="R69" s="2">
        <v>45593</v>
      </c>
      <c r="S69" s="1" t="s">
        <v>34</v>
      </c>
      <c r="T69" s="1" t="s">
        <v>35</v>
      </c>
      <c r="U69" s="1" t="s">
        <v>29</v>
      </c>
      <c r="W69" s="1" t="s">
        <v>36</v>
      </c>
      <c r="X69" s="1" t="str">
        <f>IF(urbanthreads_q4[[#This Row],[Qty]]&gt;0,"Valid","Invalid")</f>
        <v>Valid</v>
      </c>
      <c r="Y69" s="1">
        <f>urbanthreads_q4[[#This Row],[Total]]*urbanthreads_q4[[#This Row],[Disc %]]/100</f>
        <v>0</v>
      </c>
      <c r="Z69" s="1">
        <f>urbanthreads_q4[[#This Row],[Total]]-urbanthreads_q4[[#This Row],[Disc %]]</f>
        <v>1299</v>
      </c>
      <c r="AA69" s="1">
        <f>urbanthreads_q4[[#This Row],[Net revenue]]/urbanthreads_q4[[#This Row],[Total]]</f>
        <v>1</v>
      </c>
      <c r="AB69" s="1" t="str">
        <f>TEXT(urbanthreads_q4[[#This Row],[Order Date]],"mm-yyyy")</f>
        <v>10-2024</v>
      </c>
      <c r="AC69" s="1" t="str">
        <f>YEAR(urbanthreads_q4[[#This Row],[Order Date]]) &amp; "-W" &amp; WEEKNUM(urbanthreads_q4[[#This Row],[Order Date]], 2)</f>
        <v>2024-W42</v>
      </c>
      <c r="AD69" s="1" t="str">
        <f>IF(urbanthreads_q4[[#This Row],[Payment]]="COD","COD","Prepaid")</f>
        <v>Prepaid</v>
      </c>
    </row>
    <row r="70" spans="1:30" x14ac:dyDescent="0.3">
      <c r="A70" s="1" t="s">
        <v>1285</v>
      </c>
      <c r="B70" s="2">
        <v>45645</v>
      </c>
      <c r="C70" s="1" t="s">
        <v>1286</v>
      </c>
      <c r="D70" s="1" t="s">
        <v>25</v>
      </c>
      <c r="E70" s="1" t="s">
        <v>1287</v>
      </c>
      <c r="F70" s="1" t="s">
        <v>62</v>
      </c>
      <c r="G70" s="1" t="s">
        <v>1288</v>
      </c>
      <c r="H70">
        <v>6799</v>
      </c>
      <c r="I70">
        <v>1</v>
      </c>
      <c r="J70">
        <v>6799</v>
      </c>
      <c r="K70" s="1" t="s">
        <v>995</v>
      </c>
      <c r="L70">
        <v>20</v>
      </c>
      <c r="M70" s="1" t="s">
        <v>56</v>
      </c>
      <c r="N70" s="1" t="s">
        <v>31</v>
      </c>
      <c r="O70" s="1" t="s">
        <v>182</v>
      </c>
      <c r="P70" s="1" t="s">
        <v>183</v>
      </c>
      <c r="Q70" s="1" t="s">
        <v>57</v>
      </c>
      <c r="R70" s="2">
        <v>45666</v>
      </c>
      <c r="S70" s="1" t="s">
        <v>34</v>
      </c>
      <c r="T70" s="1" t="s">
        <v>47</v>
      </c>
      <c r="U70" s="1" t="s">
        <v>80</v>
      </c>
      <c r="V70" s="2">
        <v>45694</v>
      </c>
      <c r="W70" s="1" t="s">
        <v>49</v>
      </c>
      <c r="X70" s="1" t="str">
        <f>IF(urbanthreads_q4[[#This Row],[Qty]]&gt;0,"Valid","Invalid")</f>
        <v>Valid</v>
      </c>
      <c r="Y70" s="1">
        <f>urbanthreads_q4[[#This Row],[Total]]*urbanthreads_q4[[#This Row],[Disc %]]/100</f>
        <v>1359.8</v>
      </c>
      <c r="Z70" s="1">
        <f>urbanthreads_q4[[#This Row],[Total]]-urbanthreads_q4[[#This Row],[Disc %]]</f>
        <v>6779</v>
      </c>
      <c r="AA70" s="1">
        <f>urbanthreads_q4[[#This Row],[Net revenue]]/urbanthreads_q4[[#This Row],[Total]]</f>
        <v>0.99705839093984405</v>
      </c>
      <c r="AB70" s="1" t="str">
        <f>TEXT(urbanthreads_q4[[#This Row],[Order Date]],"mm-yyyy")</f>
        <v>12-2024</v>
      </c>
      <c r="AC70" s="1" t="str">
        <f>YEAR(urbanthreads_q4[[#This Row],[Order Date]]) &amp; "-W" &amp; WEEKNUM(urbanthreads_q4[[#This Row],[Order Date]], 2)</f>
        <v>2024-W51</v>
      </c>
      <c r="AD70" s="1" t="str">
        <f>IF(urbanthreads_q4[[#This Row],[Payment]]="COD","COD","Prepaid")</f>
        <v>COD</v>
      </c>
    </row>
    <row r="71" spans="1:30" x14ac:dyDescent="0.3">
      <c r="A71" s="1" t="s">
        <v>371</v>
      </c>
      <c r="B71" s="2">
        <v>45582</v>
      </c>
      <c r="C71" s="1" t="s">
        <v>372</v>
      </c>
      <c r="D71" s="1" t="s">
        <v>39</v>
      </c>
      <c r="E71" s="1" t="s">
        <v>373</v>
      </c>
      <c r="F71" s="1" t="s">
        <v>54</v>
      </c>
      <c r="G71" s="1" t="s">
        <v>374</v>
      </c>
      <c r="H71">
        <v>2099</v>
      </c>
      <c r="I71">
        <v>1</v>
      </c>
      <c r="J71">
        <v>2099</v>
      </c>
      <c r="K71" s="1" t="s">
        <v>64</v>
      </c>
      <c r="L71">
        <v>15</v>
      </c>
      <c r="M71" s="1" t="s">
        <v>30</v>
      </c>
      <c r="N71" s="1" t="s">
        <v>66</v>
      </c>
      <c r="O71" s="1" t="s">
        <v>46</v>
      </c>
      <c r="P71" s="1" t="s">
        <v>46</v>
      </c>
      <c r="Q71" s="1" t="s">
        <v>46</v>
      </c>
      <c r="R71" s="2">
        <v>45594</v>
      </c>
      <c r="S71" s="1" t="s">
        <v>34</v>
      </c>
      <c r="T71" s="1" t="s">
        <v>35</v>
      </c>
      <c r="U71" s="1" t="s">
        <v>29</v>
      </c>
      <c r="W71" s="1" t="s">
        <v>36</v>
      </c>
      <c r="X71" s="1" t="str">
        <f>IF(urbanthreads_q4[[#This Row],[Qty]]&gt;0,"Valid","Invalid")</f>
        <v>Valid</v>
      </c>
      <c r="Y71" s="1">
        <f>urbanthreads_q4[[#This Row],[Total]]*urbanthreads_q4[[#This Row],[Disc %]]/100</f>
        <v>314.85000000000002</v>
      </c>
      <c r="Z71" s="1">
        <f>urbanthreads_q4[[#This Row],[Total]]-urbanthreads_q4[[#This Row],[Disc %]]</f>
        <v>2084</v>
      </c>
      <c r="AA71" s="1">
        <f>urbanthreads_q4[[#This Row],[Net revenue]]/urbanthreads_q4[[#This Row],[Total]]</f>
        <v>0.99285373987613146</v>
      </c>
      <c r="AB71" s="1" t="str">
        <f>TEXT(urbanthreads_q4[[#This Row],[Order Date]],"mm-yyyy")</f>
        <v>10-2024</v>
      </c>
      <c r="AC71" s="1" t="str">
        <f>YEAR(urbanthreads_q4[[#This Row],[Order Date]]) &amp; "-W" &amp; WEEKNUM(urbanthreads_q4[[#This Row],[Order Date]], 2)</f>
        <v>2024-W42</v>
      </c>
      <c r="AD71" s="1" t="str">
        <f>IF(urbanthreads_q4[[#This Row],[Payment]]="COD","COD","Prepaid")</f>
        <v>Prepaid</v>
      </c>
    </row>
    <row r="72" spans="1:30" x14ac:dyDescent="0.3">
      <c r="A72" s="1" t="s">
        <v>375</v>
      </c>
      <c r="B72" s="2">
        <v>45582</v>
      </c>
      <c r="C72" s="1" t="s">
        <v>376</v>
      </c>
      <c r="D72" s="1" t="s">
        <v>25</v>
      </c>
      <c r="E72" s="1" t="s">
        <v>377</v>
      </c>
      <c r="F72" s="1" t="s">
        <v>41</v>
      </c>
      <c r="G72" s="1" t="s">
        <v>378</v>
      </c>
      <c r="H72">
        <v>2299</v>
      </c>
      <c r="I72">
        <v>1</v>
      </c>
      <c r="J72">
        <v>2299</v>
      </c>
      <c r="K72" s="1" t="s">
        <v>29</v>
      </c>
      <c r="L72">
        <v>0</v>
      </c>
      <c r="M72" s="1" t="s">
        <v>56</v>
      </c>
      <c r="N72" s="1" t="s">
        <v>45</v>
      </c>
      <c r="O72" s="1" t="s">
        <v>119</v>
      </c>
      <c r="P72" s="1" t="s">
        <v>120</v>
      </c>
      <c r="Q72" s="1" t="s">
        <v>46</v>
      </c>
      <c r="S72" s="1" t="s">
        <v>121</v>
      </c>
      <c r="T72" s="1" t="s">
        <v>35</v>
      </c>
      <c r="U72" s="1" t="s">
        <v>29</v>
      </c>
      <c r="W72" s="1" t="s">
        <v>36</v>
      </c>
      <c r="X72" s="1" t="str">
        <f>IF(urbanthreads_q4[[#This Row],[Qty]]&gt;0,"Valid","Invalid")</f>
        <v>Valid</v>
      </c>
      <c r="Y72" s="1">
        <f>urbanthreads_q4[[#This Row],[Total]]*urbanthreads_q4[[#This Row],[Disc %]]/100</f>
        <v>0</v>
      </c>
      <c r="Z72" s="1">
        <f>urbanthreads_q4[[#This Row],[Total]]-urbanthreads_q4[[#This Row],[Disc %]]</f>
        <v>2299</v>
      </c>
      <c r="AA72" s="1">
        <f>urbanthreads_q4[[#This Row],[Net revenue]]/urbanthreads_q4[[#This Row],[Total]]</f>
        <v>1</v>
      </c>
      <c r="AB72" s="1" t="str">
        <f>TEXT(urbanthreads_q4[[#This Row],[Order Date]],"mm-yyyy")</f>
        <v>10-2024</v>
      </c>
      <c r="AC72" s="1" t="str">
        <f>YEAR(urbanthreads_q4[[#This Row],[Order Date]]) &amp; "-W" &amp; WEEKNUM(urbanthreads_q4[[#This Row],[Order Date]], 2)</f>
        <v>2024-W42</v>
      </c>
      <c r="AD72" s="1" t="str">
        <f>IF(urbanthreads_q4[[#This Row],[Payment]]="COD","COD","Prepaid")</f>
        <v>COD</v>
      </c>
    </row>
    <row r="73" spans="1:30" x14ac:dyDescent="0.3">
      <c r="A73" s="1" t="s">
        <v>379</v>
      </c>
      <c r="B73" s="2">
        <v>45583</v>
      </c>
      <c r="C73" s="1" t="s">
        <v>380</v>
      </c>
      <c r="D73" s="1" t="s">
        <v>25</v>
      </c>
      <c r="E73" s="1" t="s">
        <v>381</v>
      </c>
      <c r="F73" s="1" t="s">
        <v>27</v>
      </c>
      <c r="G73" s="1" t="s">
        <v>382</v>
      </c>
      <c r="H73">
        <v>1199</v>
      </c>
      <c r="I73">
        <v>2</v>
      </c>
      <c r="J73">
        <v>2398</v>
      </c>
      <c r="K73" s="1" t="s">
        <v>29</v>
      </c>
      <c r="L73">
        <v>0</v>
      </c>
      <c r="M73" s="1" t="s">
        <v>112</v>
      </c>
      <c r="N73" s="1" t="s">
        <v>31</v>
      </c>
      <c r="O73" s="1" t="s">
        <v>138</v>
      </c>
      <c r="P73" s="1" t="s">
        <v>114</v>
      </c>
      <c r="Q73" s="1" t="s">
        <v>46</v>
      </c>
      <c r="R73" s="2">
        <v>45593</v>
      </c>
      <c r="S73" s="1" t="s">
        <v>34</v>
      </c>
      <c r="T73" s="1" t="s">
        <v>35</v>
      </c>
      <c r="U73" s="1" t="s">
        <v>29</v>
      </c>
      <c r="W73" s="1" t="s">
        <v>36</v>
      </c>
      <c r="X73" s="1" t="str">
        <f>IF(urbanthreads_q4[[#This Row],[Qty]]&gt;0,"Valid","Invalid")</f>
        <v>Valid</v>
      </c>
      <c r="Y73" s="1">
        <f>urbanthreads_q4[[#This Row],[Total]]*urbanthreads_q4[[#This Row],[Disc %]]/100</f>
        <v>0</v>
      </c>
      <c r="Z73" s="1">
        <f>urbanthreads_q4[[#This Row],[Total]]-urbanthreads_q4[[#This Row],[Disc %]]</f>
        <v>2398</v>
      </c>
      <c r="AA73" s="1">
        <f>urbanthreads_q4[[#This Row],[Net revenue]]/urbanthreads_q4[[#This Row],[Total]]</f>
        <v>1</v>
      </c>
      <c r="AB73" s="1" t="str">
        <f>TEXT(urbanthreads_q4[[#This Row],[Order Date]],"mm-yyyy")</f>
        <v>10-2024</v>
      </c>
      <c r="AC73" s="1" t="str">
        <f>YEAR(urbanthreads_q4[[#This Row],[Order Date]]) &amp; "-W" &amp; WEEKNUM(urbanthreads_q4[[#This Row],[Order Date]], 2)</f>
        <v>2024-W42</v>
      </c>
      <c r="AD73" s="1" t="str">
        <f>IF(urbanthreads_q4[[#This Row],[Payment]]="COD","COD","Prepaid")</f>
        <v>Prepaid</v>
      </c>
    </row>
    <row r="74" spans="1:30" x14ac:dyDescent="0.3">
      <c r="A74" s="1" t="s">
        <v>1293</v>
      </c>
      <c r="B74" s="2">
        <v>45645</v>
      </c>
      <c r="C74" s="1" t="s">
        <v>1294</v>
      </c>
      <c r="D74" s="1" t="s">
        <v>25</v>
      </c>
      <c r="E74" s="1" t="s">
        <v>1295</v>
      </c>
      <c r="F74" s="1" t="s">
        <v>27</v>
      </c>
      <c r="G74" s="1" t="s">
        <v>1296</v>
      </c>
      <c r="H74">
        <v>1899</v>
      </c>
      <c r="I74">
        <v>1</v>
      </c>
      <c r="J74">
        <v>1899</v>
      </c>
      <c r="K74" s="1" t="s">
        <v>29</v>
      </c>
      <c r="L74">
        <v>0</v>
      </c>
      <c r="M74" s="1" t="s">
        <v>65</v>
      </c>
      <c r="N74" s="1" t="s">
        <v>66</v>
      </c>
      <c r="O74" s="1" t="s">
        <v>194</v>
      </c>
      <c r="P74" s="1" t="s">
        <v>183</v>
      </c>
      <c r="Q74" s="1" t="s">
        <v>57</v>
      </c>
      <c r="R74" s="2">
        <v>45666</v>
      </c>
      <c r="S74" s="1" t="s">
        <v>34</v>
      </c>
      <c r="T74" s="1" t="s">
        <v>47</v>
      </c>
      <c r="U74" s="1" t="s">
        <v>69</v>
      </c>
      <c r="V74" s="2">
        <v>45693</v>
      </c>
      <c r="W74" s="1" t="s">
        <v>49</v>
      </c>
      <c r="X74" s="1" t="str">
        <f>IF(urbanthreads_q4[[#This Row],[Qty]]&gt;0,"Valid","Invalid")</f>
        <v>Valid</v>
      </c>
      <c r="Y74" s="1">
        <f>urbanthreads_q4[[#This Row],[Total]]*urbanthreads_q4[[#This Row],[Disc %]]/100</f>
        <v>0</v>
      </c>
      <c r="Z74" s="1">
        <f>urbanthreads_q4[[#This Row],[Total]]-urbanthreads_q4[[#This Row],[Disc %]]</f>
        <v>1899</v>
      </c>
      <c r="AA74" s="1">
        <f>urbanthreads_q4[[#This Row],[Net revenue]]/urbanthreads_q4[[#This Row],[Total]]</f>
        <v>1</v>
      </c>
      <c r="AB74" s="1" t="str">
        <f>TEXT(urbanthreads_q4[[#This Row],[Order Date]],"mm-yyyy")</f>
        <v>12-2024</v>
      </c>
      <c r="AC74" s="1" t="str">
        <f>YEAR(urbanthreads_q4[[#This Row],[Order Date]]) &amp; "-W" &amp; WEEKNUM(urbanthreads_q4[[#This Row],[Order Date]], 2)</f>
        <v>2024-W51</v>
      </c>
      <c r="AD74" s="1" t="str">
        <f>IF(urbanthreads_q4[[#This Row],[Payment]]="COD","COD","Prepaid")</f>
        <v>Prepaid</v>
      </c>
    </row>
    <row r="75" spans="1:30" x14ac:dyDescent="0.3">
      <c r="A75" s="1" t="s">
        <v>387</v>
      </c>
      <c r="B75" s="2">
        <v>45583</v>
      </c>
      <c r="C75" s="1" t="s">
        <v>388</v>
      </c>
      <c r="D75" s="1" t="s">
        <v>39</v>
      </c>
      <c r="E75" s="1" t="s">
        <v>389</v>
      </c>
      <c r="F75" s="1" t="s">
        <v>72</v>
      </c>
      <c r="G75" s="1" t="s">
        <v>390</v>
      </c>
      <c r="H75">
        <v>299</v>
      </c>
      <c r="I75">
        <v>5</v>
      </c>
      <c r="J75">
        <v>1495</v>
      </c>
      <c r="K75" s="1" t="s">
        <v>29</v>
      </c>
      <c r="L75">
        <v>0</v>
      </c>
      <c r="M75" s="1" t="s">
        <v>30</v>
      </c>
      <c r="N75" s="1" t="s">
        <v>45</v>
      </c>
      <c r="O75" s="1" t="s">
        <v>150</v>
      </c>
      <c r="P75" s="1" t="s">
        <v>151</v>
      </c>
      <c r="Q75" s="1" t="s">
        <v>32</v>
      </c>
      <c r="R75" s="2">
        <v>45592</v>
      </c>
      <c r="S75" s="1" t="s">
        <v>34</v>
      </c>
      <c r="T75" s="1" t="s">
        <v>35</v>
      </c>
      <c r="U75" s="1" t="s">
        <v>29</v>
      </c>
      <c r="W75" s="1" t="s">
        <v>36</v>
      </c>
      <c r="X75" s="1" t="str">
        <f>IF(urbanthreads_q4[[#This Row],[Qty]]&gt;0,"Valid","Invalid")</f>
        <v>Valid</v>
      </c>
      <c r="Y75" s="1">
        <f>urbanthreads_q4[[#This Row],[Total]]*urbanthreads_q4[[#This Row],[Disc %]]/100</f>
        <v>0</v>
      </c>
      <c r="Z75" s="1">
        <f>urbanthreads_q4[[#This Row],[Total]]-urbanthreads_q4[[#This Row],[Disc %]]</f>
        <v>1495</v>
      </c>
      <c r="AA75" s="1">
        <f>urbanthreads_q4[[#This Row],[Net revenue]]/urbanthreads_q4[[#This Row],[Total]]</f>
        <v>1</v>
      </c>
      <c r="AB75" s="1" t="str">
        <f>TEXT(urbanthreads_q4[[#This Row],[Order Date]],"mm-yyyy")</f>
        <v>10-2024</v>
      </c>
      <c r="AC75" s="1" t="str">
        <f>YEAR(urbanthreads_q4[[#This Row],[Order Date]]) &amp; "-W" &amp; WEEKNUM(urbanthreads_q4[[#This Row],[Order Date]], 2)</f>
        <v>2024-W42</v>
      </c>
      <c r="AD75" s="1" t="str">
        <f>IF(urbanthreads_q4[[#This Row],[Payment]]="COD","COD","Prepaid")</f>
        <v>Prepaid</v>
      </c>
    </row>
    <row r="76" spans="1:30" x14ac:dyDescent="0.3">
      <c r="A76" s="1" t="s">
        <v>1297</v>
      </c>
      <c r="B76" s="2">
        <v>45645</v>
      </c>
      <c r="C76" s="1" t="s">
        <v>1298</v>
      </c>
      <c r="D76" s="1" t="s">
        <v>25</v>
      </c>
      <c r="E76" s="1" t="s">
        <v>1299</v>
      </c>
      <c r="F76" s="1" t="s">
        <v>41</v>
      </c>
      <c r="G76" s="1" t="s">
        <v>1300</v>
      </c>
      <c r="H76">
        <v>4499</v>
      </c>
      <c r="I76">
        <v>1</v>
      </c>
      <c r="J76">
        <v>4499</v>
      </c>
      <c r="K76" s="1" t="s">
        <v>995</v>
      </c>
      <c r="L76">
        <v>20</v>
      </c>
      <c r="M76" s="1" t="s">
        <v>44</v>
      </c>
      <c r="N76" s="1" t="s">
        <v>31</v>
      </c>
      <c r="O76" s="1" t="s">
        <v>199</v>
      </c>
      <c r="P76" s="1" t="s">
        <v>58</v>
      </c>
      <c r="Q76" s="1" t="s">
        <v>57</v>
      </c>
      <c r="R76" s="2">
        <v>45667</v>
      </c>
      <c r="S76" s="1" t="s">
        <v>34</v>
      </c>
      <c r="T76" s="1" t="s">
        <v>47</v>
      </c>
      <c r="U76" s="1" t="s">
        <v>48</v>
      </c>
      <c r="V76" s="2">
        <v>45695</v>
      </c>
      <c r="W76" s="1" t="s">
        <v>49</v>
      </c>
      <c r="X76" s="1" t="str">
        <f>IF(urbanthreads_q4[[#This Row],[Qty]]&gt;0,"Valid","Invalid")</f>
        <v>Valid</v>
      </c>
      <c r="Y76" s="1">
        <f>urbanthreads_q4[[#This Row],[Total]]*urbanthreads_q4[[#This Row],[Disc %]]/100</f>
        <v>899.8</v>
      </c>
      <c r="Z76" s="1">
        <f>urbanthreads_q4[[#This Row],[Total]]-urbanthreads_q4[[#This Row],[Disc %]]</f>
        <v>4479</v>
      </c>
      <c r="AA76" s="1">
        <f>urbanthreads_q4[[#This Row],[Net revenue]]/urbanthreads_q4[[#This Row],[Total]]</f>
        <v>0.99555456768170703</v>
      </c>
      <c r="AB76" s="1" t="str">
        <f>TEXT(urbanthreads_q4[[#This Row],[Order Date]],"mm-yyyy")</f>
        <v>12-2024</v>
      </c>
      <c r="AC76" s="1" t="str">
        <f>YEAR(urbanthreads_q4[[#This Row],[Order Date]]) &amp; "-W" &amp; WEEKNUM(urbanthreads_q4[[#This Row],[Order Date]], 2)</f>
        <v>2024-W51</v>
      </c>
      <c r="AD76" s="1" t="str">
        <f>IF(urbanthreads_q4[[#This Row],[Payment]]="COD","COD","Prepaid")</f>
        <v>Prepaid</v>
      </c>
    </row>
    <row r="77" spans="1:30" x14ac:dyDescent="0.3">
      <c r="A77" s="1" t="s">
        <v>395</v>
      </c>
      <c r="B77" s="2">
        <v>45584</v>
      </c>
      <c r="C77" s="1" t="s">
        <v>396</v>
      </c>
      <c r="D77" s="1" t="s">
        <v>25</v>
      </c>
      <c r="E77" s="1" t="s">
        <v>397</v>
      </c>
      <c r="F77" s="1" t="s">
        <v>41</v>
      </c>
      <c r="G77" s="1" t="s">
        <v>398</v>
      </c>
      <c r="H77">
        <v>2199</v>
      </c>
      <c r="I77">
        <v>1</v>
      </c>
      <c r="J77">
        <v>2199</v>
      </c>
      <c r="K77" s="1" t="s">
        <v>29</v>
      </c>
      <c r="L77">
        <v>0</v>
      </c>
      <c r="M77" s="1" t="s">
        <v>44</v>
      </c>
      <c r="N77" s="1" t="s">
        <v>66</v>
      </c>
      <c r="O77" s="1" t="s">
        <v>161</v>
      </c>
      <c r="P77" s="1" t="s">
        <v>162</v>
      </c>
      <c r="Q77" s="1" t="s">
        <v>46</v>
      </c>
      <c r="R77" s="2">
        <v>45596</v>
      </c>
      <c r="S77" s="1" t="s">
        <v>34</v>
      </c>
      <c r="T77" s="1" t="s">
        <v>35</v>
      </c>
      <c r="U77" s="1" t="s">
        <v>29</v>
      </c>
      <c r="W77" s="1" t="s">
        <v>36</v>
      </c>
      <c r="X77" s="1" t="str">
        <f>IF(urbanthreads_q4[[#This Row],[Qty]]&gt;0,"Valid","Invalid")</f>
        <v>Valid</v>
      </c>
      <c r="Y77" s="1">
        <f>urbanthreads_q4[[#This Row],[Total]]*urbanthreads_q4[[#This Row],[Disc %]]/100</f>
        <v>0</v>
      </c>
      <c r="Z77" s="1">
        <f>urbanthreads_q4[[#This Row],[Total]]-urbanthreads_q4[[#This Row],[Disc %]]</f>
        <v>2199</v>
      </c>
      <c r="AA77" s="1">
        <f>urbanthreads_q4[[#This Row],[Net revenue]]/urbanthreads_q4[[#This Row],[Total]]</f>
        <v>1</v>
      </c>
      <c r="AB77" s="1" t="str">
        <f>TEXT(urbanthreads_q4[[#This Row],[Order Date]],"mm-yyyy")</f>
        <v>10-2024</v>
      </c>
      <c r="AC77" s="1" t="str">
        <f>YEAR(urbanthreads_q4[[#This Row],[Order Date]]) &amp; "-W" &amp; WEEKNUM(urbanthreads_q4[[#This Row],[Order Date]], 2)</f>
        <v>2024-W42</v>
      </c>
      <c r="AD77" s="1" t="str">
        <f>IF(urbanthreads_q4[[#This Row],[Payment]]="COD","COD","Prepaid")</f>
        <v>Prepaid</v>
      </c>
    </row>
    <row r="78" spans="1:30" x14ac:dyDescent="0.3">
      <c r="A78" s="1" t="s">
        <v>1305</v>
      </c>
      <c r="B78" s="2">
        <v>45646</v>
      </c>
      <c r="C78" s="1" t="s">
        <v>1306</v>
      </c>
      <c r="D78" s="1" t="s">
        <v>25</v>
      </c>
      <c r="E78" s="1" t="s">
        <v>1307</v>
      </c>
      <c r="F78" s="1" t="s">
        <v>62</v>
      </c>
      <c r="G78" s="1" t="s">
        <v>1308</v>
      </c>
      <c r="H78">
        <v>5199</v>
      </c>
      <c r="I78">
        <v>1</v>
      </c>
      <c r="J78">
        <v>5199</v>
      </c>
      <c r="K78" s="1" t="s">
        <v>29</v>
      </c>
      <c r="L78">
        <v>0</v>
      </c>
      <c r="M78" s="1" t="s">
        <v>56</v>
      </c>
      <c r="N78" s="1" t="s">
        <v>66</v>
      </c>
      <c r="O78" s="1" t="s">
        <v>209</v>
      </c>
      <c r="P78" s="1" t="s">
        <v>98</v>
      </c>
      <c r="Q78" s="1" t="s">
        <v>32</v>
      </c>
      <c r="R78" s="2">
        <v>45668</v>
      </c>
      <c r="S78" s="1" t="s">
        <v>34</v>
      </c>
      <c r="T78" s="1" t="s">
        <v>47</v>
      </c>
      <c r="U78" s="1" t="s">
        <v>105</v>
      </c>
      <c r="V78" s="2">
        <v>45696</v>
      </c>
      <c r="W78" s="1" t="s">
        <v>49</v>
      </c>
      <c r="X78" s="1" t="str">
        <f>IF(urbanthreads_q4[[#This Row],[Qty]]&gt;0,"Valid","Invalid")</f>
        <v>Valid</v>
      </c>
      <c r="Y78" s="1">
        <f>urbanthreads_q4[[#This Row],[Total]]*urbanthreads_q4[[#This Row],[Disc %]]/100</f>
        <v>0</v>
      </c>
      <c r="Z78" s="1">
        <f>urbanthreads_q4[[#This Row],[Total]]-urbanthreads_q4[[#This Row],[Disc %]]</f>
        <v>5199</v>
      </c>
      <c r="AA78" s="1">
        <f>urbanthreads_q4[[#This Row],[Net revenue]]/urbanthreads_q4[[#This Row],[Total]]</f>
        <v>1</v>
      </c>
      <c r="AB78" s="1" t="str">
        <f>TEXT(urbanthreads_q4[[#This Row],[Order Date]],"mm-yyyy")</f>
        <v>12-2024</v>
      </c>
      <c r="AC78" s="1" t="str">
        <f>YEAR(urbanthreads_q4[[#This Row],[Order Date]]) &amp; "-W" &amp; WEEKNUM(urbanthreads_q4[[#This Row],[Order Date]], 2)</f>
        <v>2024-W51</v>
      </c>
      <c r="AD78" s="1" t="str">
        <f>IF(urbanthreads_q4[[#This Row],[Payment]]="COD","COD","Prepaid")</f>
        <v>COD</v>
      </c>
    </row>
    <row r="79" spans="1:30" x14ac:dyDescent="0.3">
      <c r="A79" s="1" t="s">
        <v>403</v>
      </c>
      <c r="B79" s="2">
        <v>45584</v>
      </c>
      <c r="C79" s="1" t="s">
        <v>404</v>
      </c>
      <c r="D79" s="1" t="s">
        <v>39</v>
      </c>
      <c r="E79" s="1" t="s">
        <v>405</v>
      </c>
      <c r="F79" s="1" t="s">
        <v>62</v>
      </c>
      <c r="G79" s="1" t="s">
        <v>406</v>
      </c>
      <c r="H79">
        <v>4999</v>
      </c>
      <c r="I79">
        <v>1</v>
      </c>
      <c r="J79">
        <v>4999</v>
      </c>
      <c r="K79" s="1" t="s">
        <v>29</v>
      </c>
      <c r="L79">
        <v>0</v>
      </c>
      <c r="M79" s="1" t="s">
        <v>30</v>
      </c>
      <c r="N79" s="1" t="s">
        <v>31</v>
      </c>
      <c r="O79" s="1" t="s">
        <v>172</v>
      </c>
      <c r="P79" s="1" t="s">
        <v>33</v>
      </c>
      <c r="Q79" s="1" t="s">
        <v>32</v>
      </c>
      <c r="R79" s="2">
        <v>45597</v>
      </c>
      <c r="S79" s="1" t="s">
        <v>34</v>
      </c>
      <c r="T79" s="1" t="s">
        <v>35</v>
      </c>
      <c r="U79" s="1" t="s">
        <v>29</v>
      </c>
      <c r="W79" s="1" t="s">
        <v>36</v>
      </c>
      <c r="X79" s="1" t="str">
        <f>IF(urbanthreads_q4[[#This Row],[Qty]]&gt;0,"Valid","Invalid")</f>
        <v>Valid</v>
      </c>
      <c r="Y79" s="1">
        <f>urbanthreads_q4[[#This Row],[Total]]*urbanthreads_q4[[#This Row],[Disc %]]/100</f>
        <v>0</v>
      </c>
      <c r="Z79" s="1">
        <f>urbanthreads_q4[[#This Row],[Total]]-urbanthreads_q4[[#This Row],[Disc %]]</f>
        <v>4999</v>
      </c>
      <c r="AA79" s="1">
        <f>urbanthreads_q4[[#This Row],[Net revenue]]/urbanthreads_q4[[#This Row],[Total]]</f>
        <v>1</v>
      </c>
      <c r="AB79" s="1" t="str">
        <f>TEXT(urbanthreads_q4[[#This Row],[Order Date]],"mm-yyyy")</f>
        <v>10-2024</v>
      </c>
      <c r="AC79" s="1" t="str">
        <f>YEAR(urbanthreads_q4[[#This Row],[Order Date]]) &amp; "-W" &amp; WEEKNUM(urbanthreads_q4[[#This Row],[Order Date]], 2)</f>
        <v>2024-W42</v>
      </c>
      <c r="AD79" s="1" t="str">
        <f>IF(urbanthreads_q4[[#This Row],[Payment]]="COD","COD","Prepaid")</f>
        <v>Prepaid</v>
      </c>
    </row>
    <row r="80" spans="1:30" x14ac:dyDescent="0.3">
      <c r="A80" s="1" t="s">
        <v>1313</v>
      </c>
      <c r="B80" s="2">
        <v>45646</v>
      </c>
      <c r="C80" s="1" t="s">
        <v>1314</v>
      </c>
      <c r="D80" s="1" t="s">
        <v>25</v>
      </c>
      <c r="E80" s="1" t="s">
        <v>1315</v>
      </c>
      <c r="F80" s="1" t="s">
        <v>27</v>
      </c>
      <c r="G80" s="1" t="s">
        <v>1316</v>
      </c>
      <c r="H80">
        <v>2099</v>
      </c>
      <c r="I80">
        <v>1</v>
      </c>
      <c r="J80">
        <v>2099</v>
      </c>
      <c r="K80" s="1" t="s">
        <v>29</v>
      </c>
      <c r="L80">
        <v>0</v>
      </c>
      <c r="M80" s="1" t="s">
        <v>65</v>
      </c>
      <c r="N80" s="1" t="s">
        <v>45</v>
      </c>
      <c r="O80" s="1" t="s">
        <v>32</v>
      </c>
      <c r="P80" s="1" t="s">
        <v>33</v>
      </c>
      <c r="Q80" s="1" t="s">
        <v>32</v>
      </c>
      <c r="R80" s="2">
        <v>45668</v>
      </c>
      <c r="S80" s="1" t="s">
        <v>34</v>
      </c>
      <c r="T80" s="1" t="s">
        <v>47</v>
      </c>
      <c r="U80" s="1" t="s">
        <v>139</v>
      </c>
      <c r="V80" s="2">
        <v>45695</v>
      </c>
      <c r="W80" s="1" t="s">
        <v>49</v>
      </c>
      <c r="X80" s="1" t="str">
        <f>IF(urbanthreads_q4[[#This Row],[Qty]]&gt;0,"Valid","Invalid")</f>
        <v>Valid</v>
      </c>
      <c r="Y80" s="1">
        <f>urbanthreads_q4[[#This Row],[Total]]*urbanthreads_q4[[#This Row],[Disc %]]/100</f>
        <v>0</v>
      </c>
      <c r="Z80" s="1">
        <f>urbanthreads_q4[[#This Row],[Total]]-urbanthreads_q4[[#This Row],[Disc %]]</f>
        <v>2099</v>
      </c>
      <c r="AA80" s="1">
        <f>urbanthreads_q4[[#This Row],[Net revenue]]/urbanthreads_q4[[#This Row],[Total]]</f>
        <v>1</v>
      </c>
      <c r="AB80" s="1" t="str">
        <f>TEXT(urbanthreads_q4[[#This Row],[Order Date]],"mm-yyyy")</f>
        <v>12-2024</v>
      </c>
      <c r="AC80" s="1" t="str">
        <f>YEAR(urbanthreads_q4[[#This Row],[Order Date]]) &amp; "-W" &amp; WEEKNUM(urbanthreads_q4[[#This Row],[Order Date]], 2)</f>
        <v>2024-W51</v>
      </c>
      <c r="AD80" s="1" t="str">
        <f>IF(urbanthreads_q4[[#This Row],[Payment]]="COD","COD","Prepaid")</f>
        <v>Prepaid</v>
      </c>
    </row>
    <row r="81" spans="1:30" x14ac:dyDescent="0.3">
      <c r="A81" s="1" t="s">
        <v>411</v>
      </c>
      <c r="B81" s="2">
        <v>45585</v>
      </c>
      <c r="C81" s="1" t="s">
        <v>412</v>
      </c>
      <c r="D81" s="1" t="s">
        <v>25</v>
      </c>
      <c r="E81" s="1" t="s">
        <v>413</v>
      </c>
      <c r="F81" s="1" t="s">
        <v>54</v>
      </c>
      <c r="G81" s="1" t="s">
        <v>414</v>
      </c>
      <c r="H81">
        <v>1499</v>
      </c>
      <c r="I81">
        <v>1</v>
      </c>
      <c r="J81">
        <v>1499</v>
      </c>
      <c r="K81" s="1" t="s">
        <v>43</v>
      </c>
      <c r="L81">
        <v>20</v>
      </c>
      <c r="M81" s="1" t="s">
        <v>44</v>
      </c>
      <c r="N81" s="1" t="s">
        <v>45</v>
      </c>
      <c r="O81" s="1" t="s">
        <v>182</v>
      </c>
      <c r="P81" s="1" t="s">
        <v>183</v>
      </c>
      <c r="Q81" s="1" t="s">
        <v>57</v>
      </c>
      <c r="R81" s="2">
        <v>45596</v>
      </c>
      <c r="S81" s="1" t="s">
        <v>34</v>
      </c>
      <c r="T81" s="1" t="s">
        <v>35</v>
      </c>
      <c r="U81" s="1" t="s">
        <v>29</v>
      </c>
      <c r="W81" s="1" t="s">
        <v>36</v>
      </c>
      <c r="X81" s="1" t="str">
        <f>IF(urbanthreads_q4[[#This Row],[Qty]]&gt;0,"Valid","Invalid")</f>
        <v>Valid</v>
      </c>
      <c r="Y81" s="1">
        <f>urbanthreads_q4[[#This Row],[Total]]*urbanthreads_q4[[#This Row],[Disc %]]/100</f>
        <v>299.8</v>
      </c>
      <c r="Z81" s="1">
        <f>urbanthreads_q4[[#This Row],[Total]]-urbanthreads_q4[[#This Row],[Disc %]]</f>
        <v>1479</v>
      </c>
      <c r="AA81" s="1">
        <f>urbanthreads_q4[[#This Row],[Net revenue]]/urbanthreads_q4[[#This Row],[Total]]</f>
        <v>0.9866577718478986</v>
      </c>
      <c r="AB81" s="1" t="str">
        <f>TEXT(urbanthreads_q4[[#This Row],[Order Date]],"mm-yyyy")</f>
        <v>10-2024</v>
      </c>
      <c r="AC81" s="1" t="str">
        <f>YEAR(urbanthreads_q4[[#This Row],[Order Date]]) &amp; "-W" &amp; WEEKNUM(urbanthreads_q4[[#This Row],[Order Date]], 2)</f>
        <v>2024-W42</v>
      </c>
      <c r="AD81" s="1" t="str">
        <f>IF(urbanthreads_q4[[#This Row],[Payment]]="COD","COD","Prepaid")</f>
        <v>Prepaid</v>
      </c>
    </row>
    <row r="82" spans="1:30" x14ac:dyDescent="0.3">
      <c r="A82" s="1" t="s">
        <v>1317</v>
      </c>
      <c r="B82" s="2">
        <v>45647</v>
      </c>
      <c r="C82" s="1" t="s">
        <v>1318</v>
      </c>
      <c r="D82" s="1" t="s">
        <v>25</v>
      </c>
      <c r="E82" s="1" t="s">
        <v>1319</v>
      </c>
      <c r="F82" s="1" t="s">
        <v>41</v>
      </c>
      <c r="G82" s="1" t="s">
        <v>1320</v>
      </c>
      <c r="H82">
        <v>3999</v>
      </c>
      <c r="I82">
        <v>1</v>
      </c>
      <c r="J82">
        <v>3999</v>
      </c>
      <c r="K82" s="1" t="s">
        <v>29</v>
      </c>
      <c r="L82">
        <v>0</v>
      </c>
      <c r="M82" s="1" t="s">
        <v>44</v>
      </c>
      <c r="N82" s="1" t="s">
        <v>66</v>
      </c>
      <c r="O82" s="1" t="s">
        <v>46</v>
      </c>
      <c r="P82" s="1" t="s">
        <v>46</v>
      </c>
      <c r="Q82" s="1" t="s">
        <v>46</v>
      </c>
      <c r="R82" s="2">
        <v>45669</v>
      </c>
      <c r="S82" s="1" t="s">
        <v>34</v>
      </c>
      <c r="T82" s="1" t="s">
        <v>47</v>
      </c>
      <c r="U82" s="1" t="s">
        <v>48</v>
      </c>
      <c r="V82" s="2">
        <v>45697</v>
      </c>
      <c r="W82" s="1" t="s">
        <v>49</v>
      </c>
      <c r="X82" s="1" t="str">
        <f>IF(urbanthreads_q4[[#This Row],[Qty]]&gt;0,"Valid","Invalid")</f>
        <v>Valid</v>
      </c>
      <c r="Y82" s="1">
        <f>urbanthreads_q4[[#This Row],[Total]]*urbanthreads_q4[[#This Row],[Disc %]]/100</f>
        <v>0</v>
      </c>
      <c r="Z82" s="1">
        <f>urbanthreads_q4[[#This Row],[Total]]-urbanthreads_q4[[#This Row],[Disc %]]</f>
        <v>3999</v>
      </c>
      <c r="AA82" s="1">
        <f>urbanthreads_q4[[#This Row],[Net revenue]]/urbanthreads_q4[[#This Row],[Total]]</f>
        <v>1</v>
      </c>
      <c r="AB82" s="1" t="str">
        <f>TEXT(urbanthreads_q4[[#This Row],[Order Date]],"mm-yyyy")</f>
        <v>12-2024</v>
      </c>
      <c r="AC82" s="1" t="str">
        <f>YEAR(urbanthreads_q4[[#This Row],[Order Date]]) &amp; "-W" &amp; WEEKNUM(urbanthreads_q4[[#This Row],[Order Date]], 2)</f>
        <v>2024-W51</v>
      </c>
      <c r="AD82" s="1" t="str">
        <f>IF(urbanthreads_q4[[#This Row],[Payment]]="COD","COD","Prepaid")</f>
        <v>Prepaid</v>
      </c>
    </row>
    <row r="83" spans="1:30" x14ac:dyDescent="0.3">
      <c r="A83" s="1" t="s">
        <v>419</v>
      </c>
      <c r="B83" s="2">
        <v>45585</v>
      </c>
      <c r="C83" s="1" t="s">
        <v>420</v>
      </c>
      <c r="D83" s="1" t="s">
        <v>39</v>
      </c>
      <c r="E83" s="1" t="s">
        <v>421</v>
      </c>
      <c r="F83" s="1" t="s">
        <v>27</v>
      </c>
      <c r="G83" s="1" t="s">
        <v>422</v>
      </c>
      <c r="H83">
        <v>1099</v>
      </c>
      <c r="I83">
        <v>2</v>
      </c>
      <c r="J83">
        <v>2198</v>
      </c>
      <c r="K83" s="1" t="s">
        <v>29</v>
      </c>
      <c r="L83">
        <v>0</v>
      </c>
      <c r="M83" s="1" t="s">
        <v>30</v>
      </c>
      <c r="N83" s="1" t="s">
        <v>66</v>
      </c>
      <c r="O83" s="1" t="s">
        <v>194</v>
      </c>
      <c r="P83" s="1" t="s">
        <v>183</v>
      </c>
      <c r="Q83" s="1" t="s">
        <v>57</v>
      </c>
      <c r="R83" s="2">
        <v>45595</v>
      </c>
      <c r="S83" s="1" t="s">
        <v>34</v>
      </c>
      <c r="T83" s="1" t="s">
        <v>35</v>
      </c>
      <c r="U83" s="1" t="s">
        <v>29</v>
      </c>
      <c r="W83" s="1" t="s">
        <v>36</v>
      </c>
      <c r="X83" s="1" t="str">
        <f>IF(urbanthreads_q4[[#This Row],[Qty]]&gt;0,"Valid","Invalid")</f>
        <v>Valid</v>
      </c>
      <c r="Y83" s="1">
        <f>urbanthreads_q4[[#This Row],[Total]]*urbanthreads_q4[[#This Row],[Disc %]]/100</f>
        <v>0</v>
      </c>
      <c r="Z83" s="1">
        <f>urbanthreads_q4[[#This Row],[Total]]-urbanthreads_q4[[#This Row],[Disc %]]</f>
        <v>2198</v>
      </c>
      <c r="AA83" s="1">
        <f>urbanthreads_q4[[#This Row],[Net revenue]]/urbanthreads_q4[[#This Row],[Total]]</f>
        <v>1</v>
      </c>
      <c r="AB83" s="1" t="str">
        <f>TEXT(urbanthreads_q4[[#This Row],[Order Date]],"mm-yyyy")</f>
        <v>10-2024</v>
      </c>
      <c r="AC83" s="1" t="str">
        <f>YEAR(urbanthreads_q4[[#This Row],[Order Date]]) &amp; "-W" &amp; WEEKNUM(urbanthreads_q4[[#This Row],[Order Date]], 2)</f>
        <v>2024-W42</v>
      </c>
      <c r="AD83" s="1" t="str">
        <f>IF(urbanthreads_q4[[#This Row],[Payment]]="COD","COD","Prepaid")</f>
        <v>Prepaid</v>
      </c>
    </row>
    <row r="84" spans="1:30" x14ac:dyDescent="0.3">
      <c r="A84" s="1" t="s">
        <v>1325</v>
      </c>
      <c r="B84" s="2">
        <v>45647</v>
      </c>
      <c r="C84" s="1" t="s">
        <v>1326</v>
      </c>
      <c r="D84" s="1" t="s">
        <v>25</v>
      </c>
      <c r="E84" s="1" t="s">
        <v>1327</v>
      </c>
      <c r="F84" s="1" t="s">
        <v>62</v>
      </c>
      <c r="G84" s="1" t="s">
        <v>1328</v>
      </c>
      <c r="H84">
        <v>7299</v>
      </c>
      <c r="I84">
        <v>1</v>
      </c>
      <c r="J84">
        <v>7299</v>
      </c>
      <c r="K84" s="1" t="s">
        <v>29</v>
      </c>
      <c r="L84">
        <v>0</v>
      </c>
      <c r="M84" s="1" t="s">
        <v>56</v>
      </c>
      <c r="N84" s="1" t="s">
        <v>45</v>
      </c>
      <c r="O84" s="1" t="s">
        <v>67</v>
      </c>
      <c r="P84" s="1" t="s">
        <v>68</v>
      </c>
      <c r="Q84" s="1" t="s">
        <v>57</v>
      </c>
      <c r="R84" s="2">
        <v>45670</v>
      </c>
      <c r="S84" s="1" t="s">
        <v>34</v>
      </c>
      <c r="T84" s="1" t="s">
        <v>47</v>
      </c>
      <c r="U84" s="1" t="s">
        <v>80</v>
      </c>
      <c r="V84" s="2">
        <v>45698</v>
      </c>
      <c r="W84" s="1" t="s">
        <v>49</v>
      </c>
      <c r="X84" s="1" t="str">
        <f>IF(urbanthreads_q4[[#This Row],[Qty]]&gt;0,"Valid","Invalid")</f>
        <v>Valid</v>
      </c>
      <c r="Y84" s="1">
        <f>urbanthreads_q4[[#This Row],[Total]]*urbanthreads_q4[[#This Row],[Disc %]]/100</f>
        <v>0</v>
      </c>
      <c r="Z84" s="1">
        <f>urbanthreads_q4[[#This Row],[Total]]-urbanthreads_q4[[#This Row],[Disc %]]</f>
        <v>7299</v>
      </c>
      <c r="AA84" s="1">
        <f>urbanthreads_q4[[#This Row],[Net revenue]]/urbanthreads_q4[[#This Row],[Total]]</f>
        <v>1</v>
      </c>
      <c r="AB84" s="1" t="str">
        <f>TEXT(urbanthreads_q4[[#This Row],[Order Date]],"mm-yyyy")</f>
        <v>12-2024</v>
      </c>
      <c r="AC84" s="1" t="str">
        <f>YEAR(urbanthreads_q4[[#This Row],[Order Date]]) &amp; "-W" &amp; WEEKNUM(urbanthreads_q4[[#This Row],[Order Date]], 2)</f>
        <v>2024-W51</v>
      </c>
      <c r="AD84" s="1" t="str">
        <f>IF(urbanthreads_q4[[#This Row],[Payment]]="COD","COD","Prepaid")</f>
        <v>COD</v>
      </c>
    </row>
    <row r="85" spans="1:30" x14ac:dyDescent="0.3">
      <c r="A85" s="1" t="s">
        <v>426</v>
      </c>
      <c r="B85" s="2">
        <v>45586</v>
      </c>
      <c r="C85" s="1" t="s">
        <v>427</v>
      </c>
      <c r="D85" s="1" t="s">
        <v>25</v>
      </c>
      <c r="E85" s="1" t="s">
        <v>428</v>
      </c>
      <c r="F85" s="1" t="s">
        <v>72</v>
      </c>
      <c r="G85" s="1" t="s">
        <v>429</v>
      </c>
      <c r="H85">
        <v>799</v>
      </c>
      <c r="I85">
        <v>1</v>
      </c>
      <c r="J85">
        <v>799</v>
      </c>
      <c r="K85" s="1" t="s">
        <v>29</v>
      </c>
      <c r="L85">
        <v>0</v>
      </c>
      <c r="M85" s="1" t="s">
        <v>56</v>
      </c>
      <c r="N85" s="1" t="s">
        <v>31</v>
      </c>
      <c r="O85" s="1" t="s">
        <v>204</v>
      </c>
      <c r="P85" s="1" t="s">
        <v>98</v>
      </c>
      <c r="Q85" s="1" t="s">
        <v>32</v>
      </c>
      <c r="S85" s="1" t="s">
        <v>121</v>
      </c>
      <c r="T85" s="1" t="s">
        <v>35</v>
      </c>
      <c r="U85" s="1" t="s">
        <v>29</v>
      </c>
      <c r="W85" s="1" t="s">
        <v>36</v>
      </c>
      <c r="X85" s="1" t="str">
        <f>IF(urbanthreads_q4[[#This Row],[Qty]]&gt;0,"Valid","Invalid")</f>
        <v>Valid</v>
      </c>
      <c r="Y85" s="1">
        <f>urbanthreads_q4[[#This Row],[Total]]*urbanthreads_q4[[#This Row],[Disc %]]/100</f>
        <v>0</v>
      </c>
      <c r="Z85" s="1">
        <f>urbanthreads_q4[[#This Row],[Total]]-urbanthreads_q4[[#This Row],[Disc %]]</f>
        <v>799</v>
      </c>
      <c r="AA85" s="1">
        <f>urbanthreads_q4[[#This Row],[Net revenue]]/urbanthreads_q4[[#This Row],[Total]]</f>
        <v>1</v>
      </c>
      <c r="AB85" s="1" t="str">
        <f>TEXT(urbanthreads_q4[[#This Row],[Order Date]],"mm-yyyy")</f>
        <v>10-2024</v>
      </c>
      <c r="AC85" s="1" t="str">
        <f>YEAR(urbanthreads_q4[[#This Row],[Order Date]]) &amp; "-W" &amp; WEEKNUM(urbanthreads_q4[[#This Row],[Order Date]], 2)</f>
        <v>2024-W43</v>
      </c>
      <c r="AD85" s="1" t="str">
        <f>IF(urbanthreads_q4[[#This Row],[Payment]]="COD","COD","Prepaid")</f>
        <v>COD</v>
      </c>
    </row>
    <row r="86" spans="1:30" x14ac:dyDescent="0.3">
      <c r="A86" s="1" t="s">
        <v>430</v>
      </c>
      <c r="B86" s="2">
        <v>45586</v>
      </c>
      <c r="C86" s="1" t="s">
        <v>431</v>
      </c>
      <c r="D86" s="1" t="s">
        <v>25</v>
      </c>
      <c r="E86" s="1" t="s">
        <v>432</v>
      </c>
      <c r="F86" s="1" t="s">
        <v>54</v>
      </c>
      <c r="G86" s="1" t="s">
        <v>433</v>
      </c>
      <c r="H86">
        <v>1599</v>
      </c>
      <c r="I86">
        <v>1</v>
      </c>
      <c r="J86">
        <v>1599</v>
      </c>
      <c r="K86" s="1" t="s">
        <v>29</v>
      </c>
      <c r="L86">
        <v>0</v>
      </c>
      <c r="M86" s="1" t="s">
        <v>112</v>
      </c>
      <c r="N86" s="1" t="s">
        <v>66</v>
      </c>
      <c r="O86" s="1" t="s">
        <v>209</v>
      </c>
      <c r="P86" s="1" t="s">
        <v>98</v>
      </c>
      <c r="Q86" s="1" t="s">
        <v>32</v>
      </c>
      <c r="R86" s="2">
        <v>45598</v>
      </c>
      <c r="S86" s="1" t="s">
        <v>34</v>
      </c>
      <c r="T86" s="1" t="s">
        <v>35</v>
      </c>
      <c r="U86" s="1" t="s">
        <v>29</v>
      </c>
      <c r="W86" s="1" t="s">
        <v>36</v>
      </c>
      <c r="X86" s="1" t="str">
        <f>IF(urbanthreads_q4[[#This Row],[Qty]]&gt;0,"Valid","Invalid")</f>
        <v>Valid</v>
      </c>
      <c r="Y86" s="1">
        <f>urbanthreads_q4[[#This Row],[Total]]*urbanthreads_q4[[#This Row],[Disc %]]/100</f>
        <v>0</v>
      </c>
      <c r="Z86" s="1">
        <f>urbanthreads_q4[[#This Row],[Total]]-urbanthreads_q4[[#This Row],[Disc %]]</f>
        <v>1599</v>
      </c>
      <c r="AA86" s="1">
        <f>urbanthreads_q4[[#This Row],[Net revenue]]/urbanthreads_q4[[#This Row],[Total]]</f>
        <v>1</v>
      </c>
      <c r="AB86" s="1" t="str">
        <f>TEXT(urbanthreads_q4[[#This Row],[Order Date]],"mm-yyyy")</f>
        <v>10-2024</v>
      </c>
      <c r="AC86" s="1" t="str">
        <f>YEAR(urbanthreads_q4[[#This Row],[Order Date]]) &amp; "-W" &amp; WEEKNUM(urbanthreads_q4[[#This Row],[Order Date]], 2)</f>
        <v>2024-W43</v>
      </c>
      <c r="AD86" s="1" t="str">
        <f>IF(urbanthreads_q4[[#This Row],[Payment]]="COD","COD","Prepaid")</f>
        <v>Prepaid</v>
      </c>
    </row>
    <row r="87" spans="1:30" x14ac:dyDescent="0.3">
      <c r="A87" s="1" t="s">
        <v>1329</v>
      </c>
      <c r="B87" s="2">
        <v>45647</v>
      </c>
      <c r="C87" s="1" t="s">
        <v>1330</v>
      </c>
      <c r="D87" s="1" t="s">
        <v>39</v>
      </c>
      <c r="E87" s="1" t="s">
        <v>1331</v>
      </c>
      <c r="F87" s="1" t="s">
        <v>72</v>
      </c>
      <c r="G87" s="1" t="s">
        <v>1332</v>
      </c>
      <c r="H87">
        <v>899</v>
      </c>
      <c r="I87">
        <v>1</v>
      </c>
      <c r="J87">
        <v>899</v>
      </c>
      <c r="K87" s="1" t="s">
        <v>29</v>
      </c>
      <c r="L87">
        <v>0</v>
      </c>
      <c r="M87" s="1" t="s">
        <v>112</v>
      </c>
      <c r="N87" s="1" t="s">
        <v>66</v>
      </c>
      <c r="O87" s="1" t="s">
        <v>78</v>
      </c>
      <c r="P87" s="1" t="s">
        <v>79</v>
      </c>
      <c r="Q87" s="1" t="s">
        <v>57</v>
      </c>
      <c r="R87" s="2">
        <v>45669</v>
      </c>
      <c r="S87" s="1" t="s">
        <v>34</v>
      </c>
      <c r="T87" s="1" t="s">
        <v>47</v>
      </c>
      <c r="U87" s="1" t="s">
        <v>69</v>
      </c>
      <c r="V87" s="2">
        <v>45696</v>
      </c>
      <c r="W87" s="1" t="s">
        <v>49</v>
      </c>
      <c r="X87" s="1" t="str">
        <f>IF(urbanthreads_q4[[#This Row],[Qty]]&gt;0,"Valid","Invalid")</f>
        <v>Valid</v>
      </c>
      <c r="Y87" s="1">
        <f>urbanthreads_q4[[#This Row],[Total]]*urbanthreads_q4[[#This Row],[Disc %]]/100</f>
        <v>0</v>
      </c>
      <c r="Z87" s="1">
        <f>urbanthreads_q4[[#This Row],[Total]]-urbanthreads_q4[[#This Row],[Disc %]]</f>
        <v>899</v>
      </c>
      <c r="AA87" s="1">
        <f>urbanthreads_q4[[#This Row],[Net revenue]]/urbanthreads_q4[[#This Row],[Total]]</f>
        <v>1</v>
      </c>
      <c r="AB87" s="1" t="str">
        <f>TEXT(urbanthreads_q4[[#This Row],[Order Date]],"mm-yyyy")</f>
        <v>12-2024</v>
      </c>
      <c r="AC87" s="1" t="str">
        <f>YEAR(urbanthreads_q4[[#This Row],[Order Date]]) &amp; "-W" &amp; WEEKNUM(urbanthreads_q4[[#This Row],[Order Date]], 2)</f>
        <v>2024-W51</v>
      </c>
      <c r="AD87" s="1" t="str">
        <f>IF(urbanthreads_q4[[#This Row],[Payment]]="COD","COD","Prepaid")</f>
        <v>Prepaid</v>
      </c>
    </row>
    <row r="88" spans="1:30" x14ac:dyDescent="0.3">
      <c r="A88" s="1" t="s">
        <v>438</v>
      </c>
      <c r="B88" s="2">
        <v>45586</v>
      </c>
      <c r="C88" s="1" t="s">
        <v>439</v>
      </c>
      <c r="D88" s="1" t="s">
        <v>25</v>
      </c>
      <c r="E88" s="1" t="s">
        <v>440</v>
      </c>
      <c r="F88" s="1" t="s">
        <v>27</v>
      </c>
      <c r="G88" s="1" t="s">
        <v>441</v>
      </c>
      <c r="H88">
        <v>1499</v>
      </c>
      <c r="I88">
        <v>1</v>
      </c>
      <c r="J88">
        <v>1499</v>
      </c>
      <c r="K88" s="1" t="s">
        <v>29</v>
      </c>
      <c r="L88">
        <v>0</v>
      </c>
      <c r="M88" s="1" t="s">
        <v>30</v>
      </c>
      <c r="N88" s="1" t="s">
        <v>31</v>
      </c>
      <c r="O88" s="1" t="s">
        <v>32</v>
      </c>
      <c r="P88" s="1" t="s">
        <v>33</v>
      </c>
      <c r="Q88" s="1" t="s">
        <v>32</v>
      </c>
      <c r="R88" s="2">
        <v>45598</v>
      </c>
      <c r="S88" s="1" t="s">
        <v>34</v>
      </c>
      <c r="T88" s="1" t="s">
        <v>35</v>
      </c>
      <c r="U88" s="1" t="s">
        <v>29</v>
      </c>
      <c r="W88" s="1" t="s">
        <v>36</v>
      </c>
      <c r="X88" s="1" t="str">
        <f>IF(urbanthreads_q4[[#This Row],[Qty]]&gt;0,"Valid","Invalid")</f>
        <v>Valid</v>
      </c>
      <c r="Y88" s="1">
        <f>urbanthreads_q4[[#This Row],[Total]]*urbanthreads_q4[[#This Row],[Disc %]]/100</f>
        <v>0</v>
      </c>
      <c r="Z88" s="1">
        <f>urbanthreads_q4[[#This Row],[Total]]-urbanthreads_q4[[#This Row],[Disc %]]</f>
        <v>1499</v>
      </c>
      <c r="AA88" s="1">
        <f>urbanthreads_q4[[#This Row],[Net revenue]]/urbanthreads_q4[[#This Row],[Total]]</f>
        <v>1</v>
      </c>
      <c r="AB88" s="1" t="str">
        <f>TEXT(urbanthreads_q4[[#This Row],[Order Date]],"mm-yyyy")</f>
        <v>10-2024</v>
      </c>
      <c r="AC88" s="1" t="str">
        <f>YEAR(urbanthreads_q4[[#This Row],[Order Date]]) &amp; "-W" &amp; WEEKNUM(urbanthreads_q4[[#This Row],[Order Date]], 2)</f>
        <v>2024-W43</v>
      </c>
      <c r="AD88" s="1" t="str">
        <f>IF(urbanthreads_q4[[#This Row],[Payment]]="COD","COD","Prepaid")</f>
        <v>Prepaid</v>
      </c>
    </row>
    <row r="89" spans="1:30" x14ac:dyDescent="0.3">
      <c r="A89" s="1" t="s">
        <v>1337</v>
      </c>
      <c r="B89" s="2">
        <v>45648</v>
      </c>
      <c r="C89" s="1" t="s">
        <v>1338</v>
      </c>
      <c r="D89" s="1" t="s">
        <v>25</v>
      </c>
      <c r="E89" s="1" t="s">
        <v>1339</v>
      </c>
      <c r="F89" s="1" t="s">
        <v>41</v>
      </c>
      <c r="G89" s="1" t="s">
        <v>1340</v>
      </c>
      <c r="H89">
        <v>4699</v>
      </c>
      <c r="I89">
        <v>1</v>
      </c>
      <c r="J89">
        <v>4699</v>
      </c>
      <c r="K89" s="1" t="s">
        <v>29</v>
      </c>
      <c r="L89">
        <v>0</v>
      </c>
      <c r="M89" s="1" t="s">
        <v>44</v>
      </c>
      <c r="N89" s="1" t="s">
        <v>45</v>
      </c>
      <c r="O89" s="1" t="s">
        <v>97</v>
      </c>
      <c r="P89" s="1" t="s">
        <v>98</v>
      </c>
      <c r="Q89" s="1" t="s">
        <v>32</v>
      </c>
      <c r="R89" s="2">
        <v>45671</v>
      </c>
      <c r="S89" s="1" t="s">
        <v>34</v>
      </c>
      <c r="T89" s="1" t="s">
        <v>47</v>
      </c>
      <c r="U89" s="1" t="s">
        <v>48</v>
      </c>
      <c r="V89" s="2">
        <v>45699</v>
      </c>
      <c r="W89" s="1" t="s">
        <v>49</v>
      </c>
      <c r="X89" s="1" t="str">
        <f>IF(urbanthreads_q4[[#This Row],[Qty]]&gt;0,"Valid","Invalid")</f>
        <v>Valid</v>
      </c>
      <c r="Y89" s="1">
        <f>urbanthreads_q4[[#This Row],[Total]]*urbanthreads_q4[[#This Row],[Disc %]]/100</f>
        <v>0</v>
      </c>
      <c r="Z89" s="1">
        <f>urbanthreads_q4[[#This Row],[Total]]-urbanthreads_q4[[#This Row],[Disc %]]</f>
        <v>4699</v>
      </c>
      <c r="AA89" s="1">
        <f>urbanthreads_q4[[#This Row],[Net revenue]]/urbanthreads_q4[[#This Row],[Total]]</f>
        <v>1</v>
      </c>
      <c r="AB89" s="1" t="str">
        <f>TEXT(urbanthreads_q4[[#This Row],[Order Date]],"mm-yyyy")</f>
        <v>12-2024</v>
      </c>
      <c r="AC89" s="1" t="str">
        <f>YEAR(urbanthreads_q4[[#This Row],[Order Date]]) &amp; "-W" &amp; WEEKNUM(urbanthreads_q4[[#This Row],[Order Date]], 2)</f>
        <v>2024-W51</v>
      </c>
      <c r="AD89" s="1" t="str">
        <f>IF(urbanthreads_q4[[#This Row],[Payment]]="COD","COD","Prepaid")</f>
        <v>Prepaid</v>
      </c>
    </row>
    <row r="90" spans="1:30" x14ac:dyDescent="0.3">
      <c r="A90" s="1" t="s">
        <v>446</v>
      </c>
      <c r="B90" s="2">
        <v>45587</v>
      </c>
      <c r="C90" s="1" t="s">
        <v>447</v>
      </c>
      <c r="D90" s="1" t="s">
        <v>25</v>
      </c>
      <c r="E90" s="1" t="s">
        <v>448</v>
      </c>
      <c r="F90" s="1" t="s">
        <v>72</v>
      </c>
      <c r="G90" s="1" t="s">
        <v>449</v>
      </c>
      <c r="H90">
        <v>499</v>
      </c>
      <c r="I90">
        <v>2</v>
      </c>
      <c r="J90">
        <v>998</v>
      </c>
      <c r="K90" s="1" t="s">
        <v>111</v>
      </c>
      <c r="L90">
        <v>10</v>
      </c>
      <c r="M90" s="1" t="s">
        <v>44</v>
      </c>
      <c r="N90" s="1" t="s">
        <v>45</v>
      </c>
      <c r="O90" s="1" t="s">
        <v>91</v>
      </c>
      <c r="P90" s="1" t="s">
        <v>92</v>
      </c>
      <c r="Q90" s="1" t="s">
        <v>46</v>
      </c>
      <c r="R90" s="2">
        <v>45597</v>
      </c>
      <c r="S90" s="1" t="s">
        <v>34</v>
      </c>
      <c r="T90" s="1" t="s">
        <v>35</v>
      </c>
      <c r="U90" s="1" t="s">
        <v>29</v>
      </c>
      <c r="W90" s="1" t="s">
        <v>36</v>
      </c>
      <c r="X90" s="1" t="str">
        <f>IF(urbanthreads_q4[[#This Row],[Qty]]&gt;0,"Valid","Invalid")</f>
        <v>Valid</v>
      </c>
      <c r="Y90" s="1">
        <f>urbanthreads_q4[[#This Row],[Total]]*urbanthreads_q4[[#This Row],[Disc %]]/100</f>
        <v>99.8</v>
      </c>
      <c r="Z90" s="1">
        <f>urbanthreads_q4[[#This Row],[Total]]-urbanthreads_q4[[#This Row],[Disc %]]</f>
        <v>988</v>
      </c>
      <c r="AA90" s="1">
        <f>urbanthreads_q4[[#This Row],[Net revenue]]/urbanthreads_q4[[#This Row],[Total]]</f>
        <v>0.98997995991983967</v>
      </c>
      <c r="AB90" s="1" t="str">
        <f>TEXT(urbanthreads_q4[[#This Row],[Order Date]],"mm-yyyy")</f>
        <v>10-2024</v>
      </c>
      <c r="AC90" s="1" t="str">
        <f>YEAR(urbanthreads_q4[[#This Row],[Order Date]]) &amp; "-W" &amp; WEEKNUM(urbanthreads_q4[[#This Row],[Order Date]], 2)</f>
        <v>2024-W43</v>
      </c>
      <c r="AD90" s="1" t="str">
        <f>IF(urbanthreads_q4[[#This Row],[Payment]]="COD","COD","Prepaid")</f>
        <v>Prepaid</v>
      </c>
    </row>
    <row r="91" spans="1:30" x14ac:dyDescent="0.3">
      <c r="A91" s="1" t="s">
        <v>450</v>
      </c>
      <c r="B91" s="2">
        <v>45587</v>
      </c>
      <c r="C91" s="1" t="s">
        <v>451</v>
      </c>
      <c r="D91" s="1" t="s">
        <v>39</v>
      </c>
      <c r="E91" s="1" t="s">
        <v>452</v>
      </c>
      <c r="F91" s="1" t="s">
        <v>54</v>
      </c>
      <c r="G91" s="1" t="s">
        <v>453</v>
      </c>
      <c r="H91">
        <v>2399</v>
      </c>
      <c r="I91">
        <v>1</v>
      </c>
      <c r="J91">
        <v>2399</v>
      </c>
      <c r="K91" s="1" t="s">
        <v>29</v>
      </c>
      <c r="L91">
        <v>0</v>
      </c>
      <c r="M91" s="1" t="s">
        <v>30</v>
      </c>
      <c r="N91" s="1" t="s">
        <v>31</v>
      </c>
      <c r="O91" s="1" t="s">
        <v>67</v>
      </c>
      <c r="P91" s="1" t="s">
        <v>68</v>
      </c>
      <c r="Q91" s="1" t="s">
        <v>57</v>
      </c>
      <c r="R91" s="2">
        <v>45599</v>
      </c>
      <c r="S91" s="1" t="s">
        <v>34</v>
      </c>
      <c r="T91" s="1" t="s">
        <v>35</v>
      </c>
      <c r="U91" s="1" t="s">
        <v>29</v>
      </c>
      <c r="W91" s="1" t="s">
        <v>36</v>
      </c>
      <c r="X91" s="1" t="str">
        <f>IF(urbanthreads_q4[[#This Row],[Qty]]&gt;0,"Valid","Invalid")</f>
        <v>Valid</v>
      </c>
      <c r="Y91" s="1">
        <f>urbanthreads_q4[[#This Row],[Total]]*urbanthreads_q4[[#This Row],[Disc %]]/100</f>
        <v>0</v>
      </c>
      <c r="Z91" s="1">
        <f>urbanthreads_q4[[#This Row],[Total]]-urbanthreads_q4[[#This Row],[Disc %]]</f>
        <v>2399</v>
      </c>
      <c r="AA91" s="1">
        <f>urbanthreads_q4[[#This Row],[Net revenue]]/urbanthreads_q4[[#This Row],[Total]]</f>
        <v>1</v>
      </c>
      <c r="AB91" s="1" t="str">
        <f>TEXT(urbanthreads_q4[[#This Row],[Order Date]],"mm-yyyy")</f>
        <v>10-2024</v>
      </c>
      <c r="AC91" s="1" t="str">
        <f>YEAR(urbanthreads_q4[[#This Row],[Order Date]]) &amp; "-W" &amp; WEEKNUM(urbanthreads_q4[[#This Row],[Order Date]], 2)</f>
        <v>2024-W43</v>
      </c>
      <c r="AD91" s="1" t="str">
        <f>IF(urbanthreads_q4[[#This Row],[Payment]]="COD","COD","Prepaid")</f>
        <v>Prepaid</v>
      </c>
    </row>
    <row r="92" spans="1:30" x14ac:dyDescent="0.3">
      <c r="A92" s="1" t="s">
        <v>454</v>
      </c>
      <c r="B92" s="2">
        <v>45587</v>
      </c>
      <c r="C92" s="1" t="s">
        <v>455</v>
      </c>
      <c r="D92" s="1" t="s">
        <v>25</v>
      </c>
      <c r="E92" s="1" t="s">
        <v>456</v>
      </c>
      <c r="F92" s="1" t="s">
        <v>41</v>
      </c>
      <c r="G92" s="1" t="s">
        <v>457</v>
      </c>
      <c r="H92">
        <v>2599</v>
      </c>
      <c r="I92">
        <v>1</v>
      </c>
      <c r="J92">
        <v>2599</v>
      </c>
      <c r="K92" s="1" t="s">
        <v>29</v>
      </c>
      <c r="L92">
        <v>0</v>
      </c>
      <c r="M92" s="1" t="s">
        <v>56</v>
      </c>
      <c r="N92" s="1" t="s">
        <v>66</v>
      </c>
      <c r="O92" s="1" t="s">
        <v>78</v>
      </c>
      <c r="P92" s="1" t="s">
        <v>79</v>
      </c>
      <c r="Q92" s="1" t="s">
        <v>57</v>
      </c>
      <c r="S92" s="1" t="s">
        <v>121</v>
      </c>
      <c r="T92" s="1" t="s">
        <v>35</v>
      </c>
      <c r="U92" s="1" t="s">
        <v>29</v>
      </c>
      <c r="W92" s="1" t="s">
        <v>36</v>
      </c>
      <c r="X92" s="1" t="str">
        <f>IF(urbanthreads_q4[[#This Row],[Qty]]&gt;0,"Valid","Invalid")</f>
        <v>Valid</v>
      </c>
      <c r="Y92" s="1">
        <f>urbanthreads_q4[[#This Row],[Total]]*urbanthreads_q4[[#This Row],[Disc %]]/100</f>
        <v>0</v>
      </c>
      <c r="Z92" s="1">
        <f>urbanthreads_q4[[#This Row],[Total]]-urbanthreads_q4[[#This Row],[Disc %]]</f>
        <v>2599</v>
      </c>
      <c r="AA92" s="1">
        <f>urbanthreads_q4[[#This Row],[Net revenue]]/urbanthreads_q4[[#This Row],[Total]]</f>
        <v>1</v>
      </c>
      <c r="AB92" s="1" t="str">
        <f>TEXT(urbanthreads_q4[[#This Row],[Order Date]],"mm-yyyy")</f>
        <v>10-2024</v>
      </c>
      <c r="AC92" s="1" t="str">
        <f>YEAR(urbanthreads_q4[[#This Row],[Order Date]]) &amp; "-W" &amp; WEEKNUM(urbanthreads_q4[[#This Row],[Order Date]], 2)</f>
        <v>2024-W43</v>
      </c>
      <c r="AD92" s="1" t="str">
        <f>IF(urbanthreads_q4[[#This Row],[Payment]]="COD","COD","Prepaid")</f>
        <v>COD</v>
      </c>
    </row>
    <row r="93" spans="1:30" x14ac:dyDescent="0.3">
      <c r="A93" s="1" t="s">
        <v>1345</v>
      </c>
      <c r="B93" s="2">
        <v>45648</v>
      </c>
      <c r="C93" s="1" t="s">
        <v>1346</v>
      </c>
      <c r="D93" s="1" t="s">
        <v>25</v>
      </c>
      <c r="E93" s="1" t="s">
        <v>1347</v>
      </c>
      <c r="F93" s="1" t="s">
        <v>62</v>
      </c>
      <c r="G93" s="1" t="s">
        <v>1348</v>
      </c>
      <c r="H93">
        <v>5399</v>
      </c>
      <c r="I93">
        <v>1</v>
      </c>
      <c r="J93">
        <v>5399</v>
      </c>
      <c r="K93" s="1" t="s">
        <v>995</v>
      </c>
      <c r="L93">
        <v>20</v>
      </c>
      <c r="M93" s="1" t="s">
        <v>56</v>
      </c>
      <c r="N93" s="1" t="s">
        <v>31</v>
      </c>
      <c r="O93" s="1" t="s">
        <v>113</v>
      </c>
      <c r="P93" s="1" t="s">
        <v>114</v>
      </c>
      <c r="Q93" s="1" t="s">
        <v>46</v>
      </c>
      <c r="R93" s="2">
        <v>45672</v>
      </c>
      <c r="S93" s="1" t="s">
        <v>34</v>
      </c>
      <c r="T93" s="1" t="s">
        <v>47</v>
      </c>
      <c r="U93" s="1" t="s">
        <v>105</v>
      </c>
      <c r="V93" s="2">
        <v>45700</v>
      </c>
      <c r="W93" s="1" t="s">
        <v>49</v>
      </c>
      <c r="X93" s="1" t="str">
        <f>IF(urbanthreads_q4[[#This Row],[Qty]]&gt;0,"Valid","Invalid")</f>
        <v>Valid</v>
      </c>
      <c r="Y93" s="1">
        <f>urbanthreads_q4[[#This Row],[Total]]*urbanthreads_q4[[#This Row],[Disc %]]/100</f>
        <v>1079.8</v>
      </c>
      <c r="Z93" s="1">
        <f>urbanthreads_q4[[#This Row],[Total]]-urbanthreads_q4[[#This Row],[Disc %]]</f>
        <v>5379</v>
      </c>
      <c r="AA93" s="1">
        <f>urbanthreads_q4[[#This Row],[Net revenue]]/urbanthreads_q4[[#This Row],[Total]]</f>
        <v>0.99629561029820335</v>
      </c>
      <c r="AB93" s="1" t="str">
        <f>TEXT(urbanthreads_q4[[#This Row],[Order Date]],"mm-yyyy")</f>
        <v>12-2024</v>
      </c>
      <c r="AC93" s="1" t="str">
        <f>YEAR(urbanthreads_q4[[#This Row],[Order Date]]) &amp; "-W" &amp; WEEKNUM(urbanthreads_q4[[#This Row],[Order Date]], 2)</f>
        <v>2024-W51</v>
      </c>
      <c r="AD93" s="1" t="str">
        <f>IF(urbanthreads_q4[[#This Row],[Payment]]="COD","COD","Prepaid")</f>
        <v>COD</v>
      </c>
    </row>
    <row r="94" spans="1:30" x14ac:dyDescent="0.3">
      <c r="A94" s="1" t="s">
        <v>462</v>
      </c>
      <c r="B94" s="2">
        <v>45588</v>
      </c>
      <c r="C94" s="1" t="s">
        <v>463</v>
      </c>
      <c r="D94" s="1" t="s">
        <v>25</v>
      </c>
      <c r="E94" s="1" t="s">
        <v>464</v>
      </c>
      <c r="F94" s="1" t="s">
        <v>62</v>
      </c>
      <c r="G94" s="1" t="s">
        <v>465</v>
      </c>
      <c r="H94">
        <v>4299</v>
      </c>
      <c r="I94">
        <v>1</v>
      </c>
      <c r="J94">
        <v>4299</v>
      </c>
      <c r="K94" s="1" t="s">
        <v>29</v>
      </c>
      <c r="L94">
        <v>0</v>
      </c>
      <c r="M94" s="1" t="s">
        <v>44</v>
      </c>
      <c r="N94" s="1" t="s">
        <v>31</v>
      </c>
      <c r="O94" s="1" t="s">
        <v>97</v>
      </c>
      <c r="P94" s="1" t="s">
        <v>98</v>
      </c>
      <c r="Q94" s="1" t="s">
        <v>32</v>
      </c>
      <c r="R94" s="2">
        <v>45601</v>
      </c>
      <c r="S94" s="1" t="s">
        <v>34</v>
      </c>
      <c r="T94" s="1" t="s">
        <v>35</v>
      </c>
      <c r="U94" s="1" t="s">
        <v>29</v>
      </c>
      <c r="W94" s="1" t="s">
        <v>36</v>
      </c>
      <c r="X94" s="1" t="str">
        <f>IF(urbanthreads_q4[[#This Row],[Qty]]&gt;0,"Valid","Invalid")</f>
        <v>Valid</v>
      </c>
      <c r="Y94" s="1">
        <f>urbanthreads_q4[[#This Row],[Total]]*urbanthreads_q4[[#This Row],[Disc %]]/100</f>
        <v>0</v>
      </c>
      <c r="Z94" s="1">
        <f>urbanthreads_q4[[#This Row],[Total]]-urbanthreads_q4[[#This Row],[Disc %]]</f>
        <v>4299</v>
      </c>
      <c r="AA94" s="1">
        <f>urbanthreads_q4[[#This Row],[Net revenue]]/urbanthreads_q4[[#This Row],[Total]]</f>
        <v>1</v>
      </c>
      <c r="AB94" s="1" t="str">
        <f>TEXT(urbanthreads_q4[[#This Row],[Order Date]],"mm-yyyy")</f>
        <v>10-2024</v>
      </c>
      <c r="AC94" s="1" t="str">
        <f>YEAR(urbanthreads_q4[[#This Row],[Order Date]]) &amp; "-W" &amp; WEEKNUM(urbanthreads_q4[[#This Row],[Order Date]], 2)</f>
        <v>2024-W43</v>
      </c>
      <c r="AD94" s="1" t="str">
        <f>IF(urbanthreads_q4[[#This Row],[Payment]]="COD","COD","Prepaid")</f>
        <v>Prepaid</v>
      </c>
    </row>
    <row r="95" spans="1:30" x14ac:dyDescent="0.3">
      <c r="A95" s="1" t="s">
        <v>466</v>
      </c>
      <c r="B95" s="2">
        <v>45588</v>
      </c>
      <c r="C95" s="1" t="s">
        <v>467</v>
      </c>
      <c r="D95" s="1" t="s">
        <v>39</v>
      </c>
      <c r="E95" s="1" t="s">
        <v>468</v>
      </c>
      <c r="F95" s="1" t="s">
        <v>72</v>
      </c>
      <c r="G95" s="1" t="s">
        <v>469</v>
      </c>
      <c r="H95">
        <v>399</v>
      </c>
      <c r="I95">
        <v>3</v>
      </c>
      <c r="J95">
        <v>1197</v>
      </c>
      <c r="K95" s="1" t="s">
        <v>29</v>
      </c>
      <c r="L95">
        <v>0</v>
      </c>
      <c r="M95" s="1" t="s">
        <v>30</v>
      </c>
      <c r="N95" s="1" t="s">
        <v>66</v>
      </c>
      <c r="O95" s="1" t="s">
        <v>103</v>
      </c>
      <c r="P95" s="1" t="s">
        <v>104</v>
      </c>
      <c r="Q95" s="1" t="s">
        <v>46</v>
      </c>
      <c r="R95" s="2">
        <v>45598</v>
      </c>
      <c r="S95" s="1" t="s">
        <v>34</v>
      </c>
      <c r="T95" s="1" t="s">
        <v>35</v>
      </c>
      <c r="U95" s="1" t="s">
        <v>29</v>
      </c>
      <c r="W95" s="1" t="s">
        <v>36</v>
      </c>
      <c r="X95" s="1" t="str">
        <f>IF(urbanthreads_q4[[#This Row],[Qty]]&gt;0,"Valid","Invalid")</f>
        <v>Valid</v>
      </c>
      <c r="Y95" s="1">
        <f>urbanthreads_q4[[#This Row],[Total]]*urbanthreads_q4[[#This Row],[Disc %]]/100</f>
        <v>0</v>
      </c>
      <c r="Z95" s="1">
        <f>urbanthreads_q4[[#This Row],[Total]]-urbanthreads_q4[[#This Row],[Disc %]]</f>
        <v>1197</v>
      </c>
      <c r="AA95" s="1">
        <f>urbanthreads_q4[[#This Row],[Net revenue]]/urbanthreads_q4[[#This Row],[Total]]</f>
        <v>1</v>
      </c>
      <c r="AB95" s="1" t="str">
        <f>TEXT(urbanthreads_q4[[#This Row],[Order Date]],"mm-yyyy")</f>
        <v>10-2024</v>
      </c>
      <c r="AC95" s="1" t="str">
        <f>YEAR(urbanthreads_q4[[#This Row],[Order Date]]) &amp; "-W" &amp; WEEKNUM(urbanthreads_q4[[#This Row],[Order Date]], 2)</f>
        <v>2024-W43</v>
      </c>
      <c r="AD95" s="1" t="str">
        <f>IF(urbanthreads_q4[[#This Row],[Payment]]="COD","COD","Prepaid")</f>
        <v>Prepaid</v>
      </c>
    </row>
    <row r="96" spans="1:30" x14ac:dyDescent="0.3">
      <c r="A96" s="1" t="s">
        <v>1126</v>
      </c>
      <c r="B96" s="2">
        <v>45635</v>
      </c>
      <c r="C96" s="1" t="s">
        <v>1127</v>
      </c>
      <c r="D96" s="1" t="s">
        <v>39</v>
      </c>
      <c r="E96" s="1" t="s">
        <v>1128</v>
      </c>
      <c r="F96" s="1" t="s">
        <v>62</v>
      </c>
      <c r="G96" s="1" t="s">
        <v>1129</v>
      </c>
      <c r="H96">
        <v>5999</v>
      </c>
      <c r="I96">
        <v>1</v>
      </c>
      <c r="J96">
        <v>5999</v>
      </c>
      <c r="K96" s="1" t="s">
        <v>29</v>
      </c>
      <c r="L96">
        <v>0</v>
      </c>
      <c r="M96" s="1" t="s">
        <v>56</v>
      </c>
      <c r="N96" s="1" t="s">
        <v>66</v>
      </c>
      <c r="O96" s="1" t="s">
        <v>214</v>
      </c>
      <c r="P96" s="1" t="s">
        <v>114</v>
      </c>
      <c r="Q96" s="1" t="s">
        <v>46</v>
      </c>
      <c r="R96" s="2">
        <v>45650</v>
      </c>
      <c r="S96" s="1" t="s">
        <v>34</v>
      </c>
      <c r="T96" s="1" t="s">
        <v>47</v>
      </c>
      <c r="U96" s="1" t="s">
        <v>80</v>
      </c>
      <c r="V96" s="2">
        <v>45677</v>
      </c>
      <c r="W96" s="1" t="s">
        <v>49</v>
      </c>
      <c r="X96" s="1" t="str">
        <f>IF(urbanthreads_q4[[#This Row],[Qty]]&gt;0,"Valid","Invalid")</f>
        <v>Valid</v>
      </c>
      <c r="Y96" s="1">
        <f>urbanthreads_q4[[#This Row],[Total]]*urbanthreads_q4[[#This Row],[Disc %]]/100</f>
        <v>0</v>
      </c>
      <c r="Z96" s="1">
        <f>urbanthreads_q4[[#This Row],[Total]]-urbanthreads_q4[[#This Row],[Disc %]]</f>
        <v>5999</v>
      </c>
      <c r="AA96" s="1">
        <f>urbanthreads_q4[[#This Row],[Net revenue]]/urbanthreads_q4[[#This Row],[Total]]</f>
        <v>1</v>
      </c>
      <c r="AB96" s="1" t="str">
        <f>TEXT(urbanthreads_q4[[#This Row],[Order Date]],"mm-yyyy")</f>
        <v>12-2024</v>
      </c>
      <c r="AC96" s="1" t="str">
        <f>YEAR(urbanthreads_q4[[#This Row],[Order Date]]) &amp; "-W" &amp; WEEKNUM(urbanthreads_q4[[#This Row],[Order Date]], 2)</f>
        <v>2024-W50</v>
      </c>
      <c r="AD96" s="1" t="str">
        <f>IF(urbanthreads_q4[[#This Row],[Payment]]="COD","COD","Prepaid")</f>
        <v>COD</v>
      </c>
    </row>
    <row r="97" spans="1:30" x14ac:dyDescent="0.3">
      <c r="A97" s="1" t="s">
        <v>474</v>
      </c>
      <c r="B97" s="2">
        <v>45589</v>
      </c>
      <c r="C97" s="1" t="s">
        <v>475</v>
      </c>
      <c r="D97" s="1" t="s">
        <v>25</v>
      </c>
      <c r="E97" s="1" t="s">
        <v>476</v>
      </c>
      <c r="F97" s="1" t="s">
        <v>41</v>
      </c>
      <c r="G97" s="1" t="s">
        <v>477</v>
      </c>
      <c r="H97">
        <v>2399</v>
      </c>
      <c r="I97">
        <v>1</v>
      </c>
      <c r="J97">
        <v>2399</v>
      </c>
      <c r="K97" s="1" t="s">
        <v>29</v>
      </c>
      <c r="L97">
        <v>0</v>
      </c>
      <c r="M97" s="1" t="s">
        <v>44</v>
      </c>
      <c r="N97" s="1" t="s">
        <v>31</v>
      </c>
      <c r="O97" s="1" t="s">
        <v>57</v>
      </c>
      <c r="P97" s="1" t="s">
        <v>58</v>
      </c>
      <c r="Q97" s="1" t="s">
        <v>57</v>
      </c>
      <c r="R97" s="2">
        <v>45600</v>
      </c>
      <c r="S97" s="1" t="s">
        <v>34</v>
      </c>
      <c r="T97" s="1" t="s">
        <v>35</v>
      </c>
      <c r="U97" s="1" t="s">
        <v>29</v>
      </c>
      <c r="W97" s="1" t="s">
        <v>36</v>
      </c>
      <c r="X97" s="1" t="str">
        <f>IF(urbanthreads_q4[[#This Row],[Qty]]&gt;0,"Valid","Invalid")</f>
        <v>Valid</v>
      </c>
      <c r="Y97" s="1">
        <f>urbanthreads_q4[[#This Row],[Total]]*urbanthreads_q4[[#This Row],[Disc %]]/100</f>
        <v>0</v>
      </c>
      <c r="Z97" s="1">
        <f>urbanthreads_q4[[#This Row],[Total]]-urbanthreads_q4[[#This Row],[Disc %]]</f>
        <v>2399</v>
      </c>
      <c r="AA97" s="1">
        <f>urbanthreads_q4[[#This Row],[Net revenue]]/urbanthreads_q4[[#This Row],[Total]]</f>
        <v>1</v>
      </c>
      <c r="AB97" s="1" t="str">
        <f>TEXT(urbanthreads_q4[[#This Row],[Order Date]],"mm-yyyy")</f>
        <v>10-2024</v>
      </c>
      <c r="AC97" s="1" t="str">
        <f>YEAR(urbanthreads_q4[[#This Row],[Order Date]]) &amp; "-W" &amp; WEEKNUM(urbanthreads_q4[[#This Row],[Order Date]], 2)</f>
        <v>2024-W43</v>
      </c>
      <c r="AD97" s="1" t="str">
        <f>IF(urbanthreads_q4[[#This Row],[Payment]]="COD","COD","Prepaid")</f>
        <v>Prepaid</v>
      </c>
    </row>
    <row r="98" spans="1:30" x14ac:dyDescent="0.3">
      <c r="A98" s="1" t="s">
        <v>1134</v>
      </c>
      <c r="B98" s="2">
        <v>45635</v>
      </c>
      <c r="C98" s="1" t="s">
        <v>1135</v>
      </c>
      <c r="D98" s="1" t="s">
        <v>25</v>
      </c>
      <c r="E98" s="1" t="s">
        <v>1136</v>
      </c>
      <c r="F98" s="1" t="s">
        <v>27</v>
      </c>
      <c r="G98" s="1" t="s">
        <v>1137</v>
      </c>
      <c r="H98">
        <v>2099</v>
      </c>
      <c r="I98">
        <v>1</v>
      </c>
      <c r="J98">
        <v>2099</v>
      </c>
      <c r="K98" s="1" t="s">
        <v>29</v>
      </c>
      <c r="L98">
        <v>0</v>
      </c>
      <c r="M98" s="1" t="s">
        <v>65</v>
      </c>
      <c r="N98" s="1" t="s">
        <v>45</v>
      </c>
      <c r="O98" s="1" t="s">
        <v>46</v>
      </c>
      <c r="P98" s="1" t="s">
        <v>46</v>
      </c>
      <c r="Q98" s="1" t="s">
        <v>46</v>
      </c>
      <c r="R98" s="2">
        <v>45650</v>
      </c>
      <c r="S98" s="1" t="s">
        <v>34</v>
      </c>
      <c r="T98" s="1" t="s">
        <v>47</v>
      </c>
      <c r="U98" s="1" t="s">
        <v>69</v>
      </c>
      <c r="V98" s="2">
        <v>45676</v>
      </c>
      <c r="W98" s="1" t="s">
        <v>49</v>
      </c>
      <c r="X98" s="1" t="str">
        <f>IF(urbanthreads_q4[[#This Row],[Qty]]&gt;0,"Valid","Invalid")</f>
        <v>Valid</v>
      </c>
      <c r="Y98" s="1">
        <f>urbanthreads_q4[[#This Row],[Total]]*urbanthreads_q4[[#This Row],[Disc %]]/100</f>
        <v>0</v>
      </c>
      <c r="Z98" s="1">
        <f>urbanthreads_q4[[#This Row],[Total]]-urbanthreads_q4[[#This Row],[Disc %]]</f>
        <v>2099</v>
      </c>
      <c r="AA98" s="1">
        <f>urbanthreads_q4[[#This Row],[Net revenue]]/urbanthreads_q4[[#This Row],[Total]]</f>
        <v>1</v>
      </c>
      <c r="AB98" s="1" t="str">
        <f>TEXT(urbanthreads_q4[[#This Row],[Order Date]],"mm-yyyy")</f>
        <v>12-2024</v>
      </c>
      <c r="AC98" s="1" t="str">
        <f>YEAR(urbanthreads_q4[[#This Row],[Order Date]]) &amp; "-W" &amp; WEEKNUM(urbanthreads_q4[[#This Row],[Order Date]], 2)</f>
        <v>2024-W50</v>
      </c>
      <c r="AD98" s="1" t="str">
        <f>IF(urbanthreads_q4[[#This Row],[Payment]]="COD","COD","Prepaid")</f>
        <v>Prepaid</v>
      </c>
    </row>
    <row r="99" spans="1:30" x14ac:dyDescent="0.3">
      <c r="A99" s="1" t="s">
        <v>482</v>
      </c>
      <c r="B99" s="2">
        <v>45589</v>
      </c>
      <c r="C99" s="1" t="s">
        <v>483</v>
      </c>
      <c r="D99" s="1" t="s">
        <v>39</v>
      </c>
      <c r="E99" s="1" t="s">
        <v>484</v>
      </c>
      <c r="F99" s="1" t="s">
        <v>62</v>
      </c>
      <c r="G99" s="1" t="s">
        <v>485</v>
      </c>
      <c r="H99">
        <v>2799</v>
      </c>
      <c r="I99">
        <v>1</v>
      </c>
      <c r="J99">
        <v>2799</v>
      </c>
      <c r="K99" s="1" t="s">
        <v>43</v>
      </c>
      <c r="L99">
        <v>20</v>
      </c>
      <c r="M99" s="1" t="s">
        <v>30</v>
      </c>
      <c r="N99" s="1" t="s">
        <v>45</v>
      </c>
      <c r="O99" s="1" t="s">
        <v>46</v>
      </c>
      <c r="P99" s="1" t="s">
        <v>46</v>
      </c>
      <c r="Q99" s="1" t="s">
        <v>46</v>
      </c>
      <c r="R99" s="2">
        <v>45601</v>
      </c>
      <c r="S99" s="1" t="s">
        <v>34</v>
      </c>
      <c r="T99" s="1" t="s">
        <v>35</v>
      </c>
      <c r="U99" s="1" t="s">
        <v>29</v>
      </c>
      <c r="W99" s="1" t="s">
        <v>36</v>
      </c>
      <c r="X99" s="1" t="str">
        <f>IF(urbanthreads_q4[[#This Row],[Qty]]&gt;0,"Valid","Invalid")</f>
        <v>Valid</v>
      </c>
      <c r="Y99" s="1">
        <f>urbanthreads_q4[[#This Row],[Total]]*urbanthreads_q4[[#This Row],[Disc %]]/100</f>
        <v>559.79999999999995</v>
      </c>
      <c r="Z99" s="1">
        <f>urbanthreads_q4[[#This Row],[Total]]-urbanthreads_q4[[#This Row],[Disc %]]</f>
        <v>2779</v>
      </c>
      <c r="AA99" s="1">
        <f>urbanthreads_q4[[#This Row],[Net revenue]]/urbanthreads_q4[[#This Row],[Total]]</f>
        <v>0.99285459092533046</v>
      </c>
      <c r="AB99" s="1" t="str">
        <f>TEXT(urbanthreads_q4[[#This Row],[Order Date]],"mm-yyyy")</f>
        <v>10-2024</v>
      </c>
      <c r="AC99" s="1" t="str">
        <f>YEAR(urbanthreads_q4[[#This Row],[Order Date]]) &amp; "-W" &amp; WEEKNUM(urbanthreads_q4[[#This Row],[Order Date]], 2)</f>
        <v>2024-W43</v>
      </c>
      <c r="AD99" s="1" t="str">
        <f>IF(urbanthreads_q4[[#This Row],[Payment]]="COD","COD","Prepaid")</f>
        <v>Prepaid</v>
      </c>
    </row>
    <row r="100" spans="1:30" x14ac:dyDescent="0.3">
      <c r="A100" s="1" t="s">
        <v>486</v>
      </c>
      <c r="B100" s="2">
        <v>45589</v>
      </c>
      <c r="C100" s="1" t="s">
        <v>487</v>
      </c>
      <c r="D100" s="1" t="s">
        <v>25</v>
      </c>
      <c r="E100" s="1" t="s">
        <v>488</v>
      </c>
      <c r="F100" s="1" t="s">
        <v>72</v>
      </c>
      <c r="G100" s="1" t="s">
        <v>489</v>
      </c>
      <c r="H100">
        <v>699</v>
      </c>
      <c r="I100">
        <v>1</v>
      </c>
      <c r="J100">
        <v>699</v>
      </c>
      <c r="K100" s="1" t="s">
        <v>29</v>
      </c>
      <c r="L100">
        <v>0</v>
      </c>
      <c r="M100" s="1" t="s">
        <v>112</v>
      </c>
      <c r="N100" s="1" t="s">
        <v>31</v>
      </c>
      <c r="O100" s="1" t="s">
        <v>119</v>
      </c>
      <c r="P100" s="1" t="s">
        <v>120</v>
      </c>
      <c r="Q100" s="1" t="s">
        <v>46</v>
      </c>
      <c r="R100" s="2">
        <v>45600</v>
      </c>
      <c r="S100" s="1" t="s">
        <v>34</v>
      </c>
      <c r="T100" s="1" t="s">
        <v>35</v>
      </c>
      <c r="U100" s="1" t="s">
        <v>29</v>
      </c>
      <c r="W100" s="1" t="s">
        <v>36</v>
      </c>
      <c r="X100" s="1" t="str">
        <f>IF(urbanthreads_q4[[#This Row],[Qty]]&gt;0,"Valid","Invalid")</f>
        <v>Valid</v>
      </c>
      <c r="Y100" s="1">
        <f>urbanthreads_q4[[#This Row],[Total]]*urbanthreads_q4[[#This Row],[Disc %]]/100</f>
        <v>0</v>
      </c>
      <c r="Z100" s="1">
        <f>urbanthreads_q4[[#This Row],[Total]]-urbanthreads_q4[[#This Row],[Disc %]]</f>
        <v>699</v>
      </c>
      <c r="AA100" s="1">
        <f>urbanthreads_q4[[#This Row],[Net revenue]]/urbanthreads_q4[[#This Row],[Total]]</f>
        <v>1</v>
      </c>
      <c r="AB100" s="1" t="str">
        <f>TEXT(urbanthreads_q4[[#This Row],[Order Date]],"mm-yyyy")</f>
        <v>10-2024</v>
      </c>
      <c r="AC100" s="1" t="str">
        <f>YEAR(urbanthreads_q4[[#This Row],[Order Date]]) &amp; "-W" &amp; WEEKNUM(urbanthreads_q4[[#This Row],[Order Date]], 2)</f>
        <v>2024-W43</v>
      </c>
      <c r="AD100" s="1" t="str">
        <f>IF(urbanthreads_q4[[#This Row],[Payment]]="COD","COD","Prepaid")</f>
        <v>Prepaid</v>
      </c>
    </row>
    <row r="101" spans="1:30" x14ac:dyDescent="0.3">
      <c r="A101" s="1" t="s">
        <v>1138</v>
      </c>
      <c r="B101" s="2">
        <v>45636</v>
      </c>
      <c r="C101" s="1" t="s">
        <v>1139</v>
      </c>
      <c r="D101" s="1" t="s">
        <v>25</v>
      </c>
      <c r="E101" s="1" t="s">
        <v>1140</v>
      </c>
      <c r="F101" s="1" t="s">
        <v>41</v>
      </c>
      <c r="G101" s="1" t="s">
        <v>1141</v>
      </c>
      <c r="H101">
        <v>3999</v>
      </c>
      <c r="I101">
        <v>1</v>
      </c>
      <c r="J101">
        <v>3999</v>
      </c>
      <c r="K101" s="1" t="s">
        <v>29</v>
      </c>
      <c r="L101">
        <v>0</v>
      </c>
      <c r="M101" s="1" t="s">
        <v>44</v>
      </c>
      <c r="N101" s="1" t="s">
        <v>66</v>
      </c>
      <c r="O101" s="1" t="s">
        <v>119</v>
      </c>
      <c r="P101" s="1" t="s">
        <v>120</v>
      </c>
      <c r="Q101" s="1" t="s">
        <v>46</v>
      </c>
      <c r="R101" s="2">
        <v>45651</v>
      </c>
      <c r="S101" s="1" t="s">
        <v>34</v>
      </c>
      <c r="T101" s="1" t="s">
        <v>47</v>
      </c>
      <c r="U101" s="1" t="s">
        <v>48</v>
      </c>
      <c r="V101" s="2">
        <v>45679</v>
      </c>
      <c r="W101" s="1" t="s">
        <v>49</v>
      </c>
      <c r="X101" s="1" t="str">
        <f>IF(urbanthreads_q4[[#This Row],[Qty]]&gt;0,"Valid","Invalid")</f>
        <v>Valid</v>
      </c>
      <c r="Y101" s="1">
        <f>urbanthreads_q4[[#This Row],[Total]]*urbanthreads_q4[[#This Row],[Disc %]]/100</f>
        <v>0</v>
      </c>
      <c r="Z101" s="1">
        <f>urbanthreads_q4[[#This Row],[Total]]-urbanthreads_q4[[#This Row],[Disc %]]</f>
        <v>3999</v>
      </c>
      <c r="AA101" s="1">
        <f>urbanthreads_q4[[#This Row],[Net revenue]]/urbanthreads_q4[[#This Row],[Total]]</f>
        <v>1</v>
      </c>
      <c r="AB101" s="1" t="str">
        <f>TEXT(urbanthreads_q4[[#This Row],[Order Date]],"mm-yyyy")</f>
        <v>12-2024</v>
      </c>
      <c r="AC101" s="1" t="str">
        <f>YEAR(urbanthreads_q4[[#This Row],[Order Date]]) &amp; "-W" &amp; WEEKNUM(urbanthreads_q4[[#This Row],[Order Date]], 2)</f>
        <v>2024-W50</v>
      </c>
      <c r="AD101" s="1" t="str">
        <f>IF(urbanthreads_q4[[#This Row],[Payment]]="COD","COD","Prepaid")</f>
        <v>Prepaid</v>
      </c>
    </row>
    <row r="102" spans="1:30" x14ac:dyDescent="0.3">
      <c r="A102" s="1" t="s">
        <v>494</v>
      </c>
      <c r="B102" s="2">
        <v>45590</v>
      </c>
      <c r="C102" s="1" t="s">
        <v>495</v>
      </c>
      <c r="D102" s="1" t="s">
        <v>25</v>
      </c>
      <c r="E102" s="1" t="s">
        <v>496</v>
      </c>
      <c r="F102" s="1" t="s">
        <v>41</v>
      </c>
      <c r="G102" s="1" t="s">
        <v>149</v>
      </c>
      <c r="H102">
        <v>2799</v>
      </c>
      <c r="I102">
        <v>1</v>
      </c>
      <c r="J102">
        <v>2799</v>
      </c>
      <c r="K102" s="1" t="s">
        <v>111</v>
      </c>
      <c r="L102">
        <v>10</v>
      </c>
      <c r="M102" s="1" t="s">
        <v>44</v>
      </c>
      <c r="N102" s="1" t="s">
        <v>45</v>
      </c>
      <c r="O102" s="1" t="s">
        <v>144</v>
      </c>
      <c r="P102" s="1" t="s">
        <v>145</v>
      </c>
      <c r="Q102" s="1" t="s">
        <v>46</v>
      </c>
      <c r="R102" s="2">
        <v>45602</v>
      </c>
      <c r="S102" s="1" t="s">
        <v>34</v>
      </c>
      <c r="T102" s="1" t="s">
        <v>35</v>
      </c>
      <c r="U102" s="1" t="s">
        <v>29</v>
      </c>
      <c r="W102" s="1" t="s">
        <v>36</v>
      </c>
      <c r="X102" s="1" t="str">
        <f>IF(urbanthreads_q4[[#This Row],[Qty]]&gt;0,"Valid","Invalid")</f>
        <v>Valid</v>
      </c>
      <c r="Y102" s="1">
        <f>urbanthreads_q4[[#This Row],[Total]]*urbanthreads_q4[[#This Row],[Disc %]]/100</f>
        <v>279.89999999999998</v>
      </c>
      <c r="Z102" s="1">
        <f>urbanthreads_q4[[#This Row],[Total]]-urbanthreads_q4[[#This Row],[Disc %]]</f>
        <v>2789</v>
      </c>
      <c r="AA102" s="1">
        <f>urbanthreads_q4[[#This Row],[Net revenue]]/urbanthreads_q4[[#This Row],[Total]]</f>
        <v>0.99642729546266529</v>
      </c>
      <c r="AB102" s="1" t="str">
        <f>TEXT(urbanthreads_q4[[#This Row],[Order Date]],"mm-yyyy")</f>
        <v>10-2024</v>
      </c>
      <c r="AC102" s="1" t="str">
        <f>YEAR(urbanthreads_q4[[#This Row],[Order Date]]) &amp; "-W" &amp; WEEKNUM(urbanthreads_q4[[#This Row],[Order Date]], 2)</f>
        <v>2024-W43</v>
      </c>
      <c r="AD102" s="1" t="str">
        <f>IF(urbanthreads_q4[[#This Row],[Payment]]="COD","COD","Prepaid")</f>
        <v>Prepaid</v>
      </c>
    </row>
    <row r="103" spans="1:30" x14ac:dyDescent="0.3">
      <c r="A103" s="1" t="s">
        <v>1146</v>
      </c>
      <c r="B103" s="2">
        <v>45636</v>
      </c>
      <c r="C103" s="1" t="s">
        <v>1147</v>
      </c>
      <c r="D103" s="1" t="s">
        <v>39</v>
      </c>
      <c r="E103" s="1" t="s">
        <v>1148</v>
      </c>
      <c r="F103" s="1" t="s">
        <v>62</v>
      </c>
      <c r="G103" s="1" t="s">
        <v>1149</v>
      </c>
      <c r="H103">
        <v>4899</v>
      </c>
      <c r="I103">
        <v>1</v>
      </c>
      <c r="J103">
        <v>4899</v>
      </c>
      <c r="K103" s="1" t="s">
        <v>29</v>
      </c>
      <c r="L103">
        <v>0</v>
      </c>
      <c r="M103" s="1" t="s">
        <v>56</v>
      </c>
      <c r="N103" s="1" t="s">
        <v>45</v>
      </c>
      <c r="O103" s="1" t="s">
        <v>144</v>
      </c>
      <c r="P103" s="1" t="s">
        <v>145</v>
      </c>
      <c r="Q103" s="1" t="s">
        <v>46</v>
      </c>
      <c r="R103" s="2">
        <v>45652</v>
      </c>
      <c r="S103" s="1" t="s">
        <v>34</v>
      </c>
      <c r="T103" s="1" t="s">
        <v>47</v>
      </c>
      <c r="U103" s="1" t="s">
        <v>105</v>
      </c>
      <c r="V103" s="2">
        <v>45680</v>
      </c>
      <c r="W103" s="1" t="s">
        <v>49</v>
      </c>
      <c r="X103" s="1" t="str">
        <f>IF(urbanthreads_q4[[#This Row],[Qty]]&gt;0,"Valid","Invalid")</f>
        <v>Valid</v>
      </c>
      <c r="Y103" s="1">
        <f>urbanthreads_q4[[#This Row],[Total]]*urbanthreads_q4[[#This Row],[Disc %]]/100</f>
        <v>0</v>
      </c>
      <c r="Z103" s="1">
        <f>urbanthreads_q4[[#This Row],[Total]]-urbanthreads_q4[[#This Row],[Disc %]]</f>
        <v>4899</v>
      </c>
      <c r="AA103" s="1">
        <f>urbanthreads_q4[[#This Row],[Net revenue]]/urbanthreads_q4[[#This Row],[Total]]</f>
        <v>1</v>
      </c>
      <c r="AB103" s="1" t="str">
        <f>TEXT(urbanthreads_q4[[#This Row],[Order Date]],"mm-yyyy")</f>
        <v>12-2024</v>
      </c>
      <c r="AC103" s="1" t="str">
        <f>YEAR(urbanthreads_q4[[#This Row],[Order Date]]) &amp; "-W" &amp; WEEKNUM(urbanthreads_q4[[#This Row],[Order Date]], 2)</f>
        <v>2024-W50</v>
      </c>
      <c r="AD103" s="1" t="str">
        <f>IF(urbanthreads_q4[[#This Row],[Payment]]="COD","COD","Prepaid")</f>
        <v>COD</v>
      </c>
    </row>
    <row r="104" spans="1:30" x14ac:dyDescent="0.3">
      <c r="A104" s="1" t="s">
        <v>501</v>
      </c>
      <c r="B104" s="2">
        <v>45590</v>
      </c>
      <c r="C104" s="1" t="s">
        <v>502</v>
      </c>
      <c r="D104" s="1" t="s">
        <v>25</v>
      </c>
      <c r="E104" s="1" t="s">
        <v>503</v>
      </c>
      <c r="F104" s="1" t="s">
        <v>62</v>
      </c>
      <c r="G104" s="1" t="s">
        <v>504</v>
      </c>
      <c r="H104">
        <v>5999</v>
      </c>
      <c r="I104">
        <v>1</v>
      </c>
      <c r="J104">
        <v>5999</v>
      </c>
      <c r="K104" s="1" t="s">
        <v>29</v>
      </c>
      <c r="L104">
        <v>0</v>
      </c>
      <c r="M104" s="1" t="s">
        <v>44</v>
      </c>
      <c r="N104" s="1" t="s">
        <v>66</v>
      </c>
      <c r="O104" s="1" t="s">
        <v>156</v>
      </c>
      <c r="P104" s="1" t="s">
        <v>98</v>
      </c>
      <c r="Q104" s="1" t="s">
        <v>32</v>
      </c>
      <c r="R104" s="2">
        <v>45604</v>
      </c>
      <c r="S104" s="1" t="s">
        <v>34</v>
      </c>
      <c r="T104" s="1" t="s">
        <v>35</v>
      </c>
      <c r="U104" s="1" t="s">
        <v>29</v>
      </c>
      <c r="W104" s="1" t="s">
        <v>36</v>
      </c>
      <c r="X104" s="1" t="str">
        <f>IF(urbanthreads_q4[[#This Row],[Qty]]&gt;0,"Valid","Invalid")</f>
        <v>Valid</v>
      </c>
      <c r="Y104" s="1">
        <f>urbanthreads_q4[[#This Row],[Total]]*urbanthreads_q4[[#This Row],[Disc %]]/100</f>
        <v>0</v>
      </c>
      <c r="Z104" s="1">
        <f>urbanthreads_q4[[#This Row],[Total]]-urbanthreads_q4[[#This Row],[Disc %]]</f>
        <v>5999</v>
      </c>
      <c r="AA104" s="1">
        <f>urbanthreads_q4[[#This Row],[Net revenue]]/urbanthreads_q4[[#This Row],[Total]]</f>
        <v>1</v>
      </c>
      <c r="AB104" s="1" t="str">
        <f>TEXT(urbanthreads_q4[[#This Row],[Order Date]],"mm-yyyy")</f>
        <v>10-2024</v>
      </c>
      <c r="AC104" s="1" t="str">
        <f>YEAR(urbanthreads_q4[[#This Row],[Order Date]]) &amp; "-W" &amp; WEEKNUM(urbanthreads_q4[[#This Row],[Order Date]], 2)</f>
        <v>2024-W43</v>
      </c>
      <c r="AD104" s="1" t="str">
        <f>IF(urbanthreads_q4[[#This Row],[Payment]]="COD","COD","Prepaid")</f>
        <v>Prepaid</v>
      </c>
    </row>
    <row r="105" spans="1:30" x14ac:dyDescent="0.3">
      <c r="A105" s="1" t="s">
        <v>505</v>
      </c>
      <c r="B105" s="2">
        <v>45591</v>
      </c>
      <c r="C105" s="1" t="s">
        <v>506</v>
      </c>
      <c r="D105" s="1" t="s">
        <v>25</v>
      </c>
      <c r="E105" s="1" t="s">
        <v>507</v>
      </c>
      <c r="F105" s="1" t="s">
        <v>72</v>
      </c>
      <c r="G105" s="1" t="s">
        <v>508</v>
      </c>
      <c r="H105">
        <v>1799</v>
      </c>
      <c r="I105">
        <v>1</v>
      </c>
      <c r="J105">
        <v>1799</v>
      </c>
      <c r="K105" s="1" t="s">
        <v>43</v>
      </c>
      <c r="L105">
        <v>20</v>
      </c>
      <c r="M105" s="1" t="s">
        <v>56</v>
      </c>
      <c r="N105" s="1" t="s">
        <v>45</v>
      </c>
      <c r="O105" s="1" t="s">
        <v>161</v>
      </c>
      <c r="P105" s="1" t="s">
        <v>162</v>
      </c>
      <c r="Q105" s="1" t="s">
        <v>46</v>
      </c>
      <c r="S105" s="1" t="s">
        <v>121</v>
      </c>
      <c r="T105" s="1" t="s">
        <v>35</v>
      </c>
      <c r="U105" s="1" t="s">
        <v>29</v>
      </c>
      <c r="W105" s="1" t="s">
        <v>36</v>
      </c>
      <c r="X105" s="1" t="str">
        <f>IF(urbanthreads_q4[[#This Row],[Qty]]&gt;0,"Valid","Invalid")</f>
        <v>Valid</v>
      </c>
      <c r="Y105" s="1">
        <f>urbanthreads_q4[[#This Row],[Total]]*urbanthreads_q4[[#This Row],[Disc %]]/100</f>
        <v>359.8</v>
      </c>
      <c r="Z105" s="1">
        <f>urbanthreads_q4[[#This Row],[Total]]-urbanthreads_q4[[#This Row],[Disc %]]</f>
        <v>1779</v>
      </c>
      <c r="AA105" s="1">
        <f>urbanthreads_q4[[#This Row],[Net revenue]]/urbanthreads_q4[[#This Row],[Total]]</f>
        <v>0.98888271261812122</v>
      </c>
      <c r="AB105" s="1" t="str">
        <f>TEXT(urbanthreads_q4[[#This Row],[Order Date]],"mm-yyyy")</f>
        <v>10-2024</v>
      </c>
      <c r="AC105" s="1" t="str">
        <f>YEAR(urbanthreads_q4[[#This Row],[Order Date]]) &amp; "-W" &amp; WEEKNUM(urbanthreads_q4[[#This Row],[Order Date]], 2)</f>
        <v>2024-W43</v>
      </c>
      <c r="AD105" s="1" t="str">
        <f>IF(urbanthreads_q4[[#This Row],[Payment]]="COD","COD","Prepaid")</f>
        <v>COD</v>
      </c>
    </row>
    <row r="106" spans="1:30" x14ac:dyDescent="0.3">
      <c r="A106" s="1" t="s">
        <v>1154</v>
      </c>
      <c r="B106" s="2">
        <v>45636</v>
      </c>
      <c r="C106" s="1" t="s">
        <v>1155</v>
      </c>
      <c r="D106" s="1" t="s">
        <v>25</v>
      </c>
      <c r="E106" s="1" t="s">
        <v>1156</v>
      </c>
      <c r="F106" s="1" t="s">
        <v>27</v>
      </c>
      <c r="G106" s="1" t="s">
        <v>1157</v>
      </c>
      <c r="H106">
        <v>1899</v>
      </c>
      <c r="I106">
        <v>1</v>
      </c>
      <c r="J106">
        <v>1899</v>
      </c>
      <c r="K106" s="1" t="s">
        <v>995</v>
      </c>
      <c r="L106">
        <v>20</v>
      </c>
      <c r="M106" s="1" t="s">
        <v>65</v>
      </c>
      <c r="N106" s="1" t="s">
        <v>31</v>
      </c>
      <c r="O106" s="1" t="s">
        <v>156</v>
      </c>
      <c r="P106" s="1" t="s">
        <v>98</v>
      </c>
      <c r="Q106" s="1" t="s">
        <v>32</v>
      </c>
      <c r="R106" s="2">
        <v>45652</v>
      </c>
      <c r="S106" s="1" t="s">
        <v>34</v>
      </c>
      <c r="T106" s="1" t="s">
        <v>47</v>
      </c>
      <c r="U106" s="1" t="s">
        <v>139</v>
      </c>
      <c r="V106" s="2">
        <v>45678</v>
      </c>
      <c r="W106" s="1" t="s">
        <v>49</v>
      </c>
      <c r="X106" s="1" t="str">
        <f>IF(urbanthreads_q4[[#This Row],[Qty]]&gt;0,"Valid","Invalid")</f>
        <v>Valid</v>
      </c>
      <c r="Y106" s="1">
        <f>urbanthreads_q4[[#This Row],[Total]]*urbanthreads_q4[[#This Row],[Disc %]]/100</f>
        <v>379.8</v>
      </c>
      <c r="Z106" s="1">
        <f>urbanthreads_q4[[#This Row],[Total]]-urbanthreads_q4[[#This Row],[Disc %]]</f>
        <v>1879</v>
      </c>
      <c r="AA106" s="1">
        <f>urbanthreads_q4[[#This Row],[Net revenue]]/urbanthreads_q4[[#This Row],[Total]]</f>
        <v>0.98946814112690895</v>
      </c>
      <c r="AB106" s="1" t="str">
        <f>TEXT(urbanthreads_q4[[#This Row],[Order Date]],"mm-yyyy")</f>
        <v>12-2024</v>
      </c>
      <c r="AC106" s="1" t="str">
        <f>YEAR(urbanthreads_q4[[#This Row],[Order Date]]) &amp; "-W" &amp; WEEKNUM(urbanthreads_q4[[#This Row],[Order Date]], 2)</f>
        <v>2024-W50</v>
      </c>
      <c r="AD106" s="1" t="str">
        <f>IF(urbanthreads_q4[[#This Row],[Payment]]="COD","COD","Prepaid")</f>
        <v>Prepaid</v>
      </c>
    </row>
    <row r="107" spans="1:30" x14ac:dyDescent="0.3">
      <c r="A107" s="1" t="s">
        <v>513</v>
      </c>
      <c r="B107" s="2">
        <v>45591</v>
      </c>
      <c r="C107" s="1" t="s">
        <v>514</v>
      </c>
      <c r="D107" s="1" t="s">
        <v>39</v>
      </c>
      <c r="E107" s="1" t="s">
        <v>515</v>
      </c>
      <c r="F107" s="1" t="s">
        <v>41</v>
      </c>
      <c r="G107" s="1" t="s">
        <v>516</v>
      </c>
      <c r="H107">
        <v>2499</v>
      </c>
      <c r="I107">
        <v>1</v>
      </c>
      <c r="J107">
        <v>2499</v>
      </c>
      <c r="K107" s="1" t="s">
        <v>29</v>
      </c>
      <c r="L107">
        <v>0</v>
      </c>
      <c r="M107" s="1" t="s">
        <v>65</v>
      </c>
      <c r="N107" s="1" t="s">
        <v>66</v>
      </c>
      <c r="O107" s="1" t="s">
        <v>172</v>
      </c>
      <c r="P107" s="1" t="s">
        <v>33</v>
      </c>
      <c r="Q107" s="1" t="s">
        <v>32</v>
      </c>
      <c r="R107" s="2">
        <v>45604</v>
      </c>
      <c r="S107" s="1" t="s">
        <v>34</v>
      </c>
      <c r="T107" s="1" t="s">
        <v>35</v>
      </c>
      <c r="U107" s="1" t="s">
        <v>29</v>
      </c>
      <c r="W107" s="1" t="s">
        <v>36</v>
      </c>
      <c r="X107" s="1" t="str">
        <f>IF(urbanthreads_q4[[#This Row],[Qty]]&gt;0,"Valid","Invalid")</f>
        <v>Valid</v>
      </c>
      <c r="Y107" s="1">
        <f>urbanthreads_q4[[#This Row],[Total]]*urbanthreads_q4[[#This Row],[Disc %]]/100</f>
        <v>0</v>
      </c>
      <c r="Z107" s="1">
        <f>urbanthreads_q4[[#This Row],[Total]]-urbanthreads_q4[[#This Row],[Disc %]]</f>
        <v>2499</v>
      </c>
      <c r="AA107" s="1">
        <f>urbanthreads_q4[[#This Row],[Net revenue]]/urbanthreads_q4[[#This Row],[Total]]</f>
        <v>1</v>
      </c>
      <c r="AB107" s="1" t="str">
        <f>TEXT(urbanthreads_q4[[#This Row],[Order Date]],"mm-yyyy")</f>
        <v>10-2024</v>
      </c>
      <c r="AC107" s="1" t="str">
        <f>YEAR(urbanthreads_q4[[#This Row],[Order Date]]) &amp; "-W" &amp; WEEKNUM(urbanthreads_q4[[#This Row],[Order Date]], 2)</f>
        <v>2024-W43</v>
      </c>
      <c r="AD107" s="1" t="str">
        <f>IF(urbanthreads_q4[[#This Row],[Payment]]="COD","COD","Prepaid")</f>
        <v>Prepaid</v>
      </c>
    </row>
    <row r="108" spans="1:30" x14ac:dyDescent="0.3">
      <c r="A108" s="1" t="s">
        <v>1162</v>
      </c>
      <c r="B108" s="2">
        <v>45637</v>
      </c>
      <c r="C108" s="1" t="s">
        <v>1163</v>
      </c>
      <c r="D108" s="1" t="s">
        <v>25</v>
      </c>
      <c r="E108" s="1" t="s">
        <v>1164</v>
      </c>
      <c r="F108" s="1" t="s">
        <v>54</v>
      </c>
      <c r="G108" s="1" t="s">
        <v>1165</v>
      </c>
      <c r="H108">
        <v>2699</v>
      </c>
      <c r="I108">
        <v>1</v>
      </c>
      <c r="J108">
        <v>2699</v>
      </c>
      <c r="K108" s="1" t="s">
        <v>29</v>
      </c>
      <c r="L108">
        <v>0</v>
      </c>
      <c r="M108" s="1" t="s">
        <v>30</v>
      </c>
      <c r="N108" s="1" t="s">
        <v>66</v>
      </c>
      <c r="O108" s="1" t="s">
        <v>167</v>
      </c>
      <c r="P108" s="1" t="s">
        <v>151</v>
      </c>
      <c r="Q108" s="1" t="s">
        <v>32</v>
      </c>
      <c r="R108" s="2">
        <v>45653</v>
      </c>
      <c r="S108" s="1" t="s">
        <v>34</v>
      </c>
      <c r="T108" s="1" t="s">
        <v>47</v>
      </c>
      <c r="U108" s="1" t="s">
        <v>48</v>
      </c>
      <c r="V108" s="2">
        <v>45681</v>
      </c>
      <c r="W108" s="1" t="s">
        <v>49</v>
      </c>
      <c r="X108" s="1" t="str">
        <f>IF(urbanthreads_q4[[#This Row],[Qty]]&gt;0,"Valid","Invalid")</f>
        <v>Valid</v>
      </c>
      <c r="Y108" s="1">
        <f>urbanthreads_q4[[#This Row],[Total]]*urbanthreads_q4[[#This Row],[Disc %]]/100</f>
        <v>0</v>
      </c>
      <c r="Z108" s="1">
        <f>urbanthreads_q4[[#This Row],[Total]]-urbanthreads_q4[[#This Row],[Disc %]]</f>
        <v>2699</v>
      </c>
      <c r="AA108" s="1">
        <f>urbanthreads_q4[[#This Row],[Net revenue]]/urbanthreads_q4[[#This Row],[Total]]</f>
        <v>1</v>
      </c>
      <c r="AB108" s="1" t="str">
        <f>TEXT(urbanthreads_q4[[#This Row],[Order Date]],"mm-yyyy")</f>
        <v>12-2024</v>
      </c>
      <c r="AC108" s="1" t="str">
        <f>YEAR(urbanthreads_q4[[#This Row],[Order Date]]) &amp; "-W" &amp; WEEKNUM(urbanthreads_q4[[#This Row],[Order Date]], 2)</f>
        <v>2024-W50</v>
      </c>
      <c r="AD108" s="1" t="str">
        <f>IF(urbanthreads_q4[[#This Row],[Payment]]="COD","COD","Prepaid")</f>
        <v>Prepaid</v>
      </c>
    </row>
    <row r="109" spans="1:30" x14ac:dyDescent="0.3">
      <c r="A109" s="1" t="s">
        <v>521</v>
      </c>
      <c r="B109" s="2">
        <v>45592</v>
      </c>
      <c r="C109" s="1" t="s">
        <v>522</v>
      </c>
      <c r="D109" s="1" t="s">
        <v>25</v>
      </c>
      <c r="E109" s="1" t="s">
        <v>523</v>
      </c>
      <c r="F109" s="1" t="s">
        <v>62</v>
      </c>
      <c r="G109" s="1" t="s">
        <v>524</v>
      </c>
      <c r="H109">
        <v>3999</v>
      </c>
      <c r="I109">
        <v>1</v>
      </c>
      <c r="J109">
        <v>3999</v>
      </c>
      <c r="K109" s="1" t="s">
        <v>29</v>
      </c>
      <c r="L109">
        <v>0</v>
      </c>
      <c r="M109" s="1" t="s">
        <v>44</v>
      </c>
      <c r="N109" s="1" t="s">
        <v>31</v>
      </c>
      <c r="O109" s="1" t="s">
        <v>182</v>
      </c>
      <c r="P109" s="1" t="s">
        <v>183</v>
      </c>
      <c r="Q109" s="1" t="s">
        <v>57</v>
      </c>
      <c r="R109" s="2">
        <v>45605</v>
      </c>
      <c r="S109" s="1" t="s">
        <v>34</v>
      </c>
      <c r="T109" s="1" t="s">
        <v>35</v>
      </c>
      <c r="U109" s="1" t="s">
        <v>29</v>
      </c>
      <c r="W109" s="1" t="s">
        <v>36</v>
      </c>
      <c r="X109" s="1" t="str">
        <f>IF(urbanthreads_q4[[#This Row],[Qty]]&gt;0,"Valid","Invalid")</f>
        <v>Valid</v>
      </c>
      <c r="Y109" s="1">
        <f>urbanthreads_q4[[#This Row],[Total]]*urbanthreads_q4[[#This Row],[Disc %]]/100</f>
        <v>0</v>
      </c>
      <c r="Z109" s="1">
        <f>urbanthreads_q4[[#This Row],[Total]]-urbanthreads_q4[[#This Row],[Disc %]]</f>
        <v>3999</v>
      </c>
      <c r="AA109" s="1">
        <f>urbanthreads_q4[[#This Row],[Net revenue]]/urbanthreads_q4[[#This Row],[Total]]</f>
        <v>1</v>
      </c>
      <c r="AB109" s="1" t="str">
        <f>TEXT(urbanthreads_q4[[#This Row],[Order Date]],"mm-yyyy")</f>
        <v>10-2024</v>
      </c>
      <c r="AC109" s="1" t="str">
        <f>YEAR(urbanthreads_q4[[#This Row],[Order Date]]) &amp; "-W" &amp; WEEKNUM(urbanthreads_q4[[#This Row],[Order Date]], 2)</f>
        <v>2024-W43</v>
      </c>
      <c r="AD109" s="1" t="str">
        <f>IF(urbanthreads_q4[[#This Row],[Payment]]="COD","COD","Prepaid")</f>
        <v>Prepaid</v>
      </c>
    </row>
    <row r="110" spans="1:30" x14ac:dyDescent="0.3">
      <c r="A110" s="1" t="s">
        <v>1166</v>
      </c>
      <c r="B110" s="2">
        <v>45637</v>
      </c>
      <c r="C110" s="1" t="s">
        <v>1167</v>
      </c>
      <c r="D110" s="1" t="s">
        <v>39</v>
      </c>
      <c r="E110" s="1" t="s">
        <v>1168</v>
      </c>
      <c r="F110" s="1" t="s">
        <v>62</v>
      </c>
      <c r="G110" s="1" t="s">
        <v>1169</v>
      </c>
      <c r="H110">
        <v>5599</v>
      </c>
      <c r="I110">
        <v>1</v>
      </c>
      <c r="J110">
        <v>5599</v>
      </c>
      <c r="K110" s="1" t="s">
        <v>995</v>
      </c>
      <c r="L110">
        <v>20</v>
      </c>
      <c r="M110" s="1" t="s">
        <v>56</v>
      </c>
      <c r="N110" s="1" t="s">
        <v>31</v>
      </c>
      <c r="O110" s="1" t="s">
        <v>172</v>
      </c>
      <c r="P110" s="1" t="s">
        <v>33</v>
      </c>
      <c r="Q110" s="1" t="s">
        <v>32</v>
      </c>
      <c r="R110" s="2">
        <v>45654</v>
      </c>
      <c r="S110" s="1" t="s">
        <v>34</v>
      </c>
      <c r="T110" s="1" t="s">
        <v>47</v>
      </c>
      <c r="U110" s="1" t="s">
        <v>80</v>
      </c>
      <c r="V110" s="2">
        <v>45682</v>
      </c>
      <c r="W110" s="1" t="s">
        <v>49</v>
      </c>
      <c r="X110" s="1" t="str">
        <f>IF(urbanthreads_q4[[#This Row],[Qty]]&gt;0,"Valid","Invalid")</f>
        <v>Valid</v>
      </c>
      <c r="Y110" s="1">
        <f>urbanthreads_q4[[#This Row],[Total]]*urbanthreads_q4[[#This Row],[Disc %]]/100</f>
        <v>1119.8</v>
      </c>
      <c r="Z110" s="1">
        <f>urbanthreads_q4[[#This Row],[Total]]-urbanthreads_q4[[#This Row],[Disc %]]</f>
        <v>5579</v>
      </c>
      <c r="AA110" s="1">
        <f>urbanthreads_q4[[#This Row],[Net revenue]]/urbanthreads_q4[[#This Row],[Total]]</f>
        <v>0.99642793355956416</v>
      </c>
      <c r="AB110" s="1" t="str">
        <f>TEXT(urbanthreads_q4[[#This Row],[Order Date]],"mm-yyyy")</f>
        <v>12-2024</v>
      </c>
      <c r="AC110" s="1" t="str">
        <f>YEAR(urbanthreads_q4[[#This Row],[Order Date]]) &amp; "-W" &amp; WEEKNUM(urbanthreads_q4[[#This Row],[Order Date]], 2)</f>
        <v>2024-W50</v>
      </c>
      <c r="AD110" s="1" t="str">
        <f>IF(urbanthreads_q4[[#This Row],[Payment]]="COD","COD","Prepaid")</f>
        <v>COD</v>
      </c>
    </row>
    <row r="111" spans="1:30" x14ac:dyDescent="0.3">
      <c r="A111" s="1" t="s">
        <v>529</v>
      </c>
      <c r="B111" s="2">
        <v>45592</v>
      </c>
      <c r="C111" s="1" t="s">
        <v>530</v>
      </c>
      <c r="D111" s="1" t="s">
        <v>39</v>
      </c>
      <c r="E111" s="1" t="s">
        <v>531</v>
      </c>
      <c r="F111" s="1" t="s">
        <v>54</v>
      </c>
      <c r="G111" s="1" t="s">
        <v>532</v>
      </c>
      <c r="H111">
        <v>1799</v>
      </c>
      <c r="I111">
        <v>1</v>
      </c>
      <c r="J111">
        <v>1799</v>
      </c>
      <c r="K111" s="1" t="s">
        <v>43</v>
      </c>
      <c r="L111">
        <v>20</v>
      </c>
      <c r="M111" s="1" t="s">
        <v>30</v>
      </c>
      <c r="N111" s="1" t="s">
        <v>45</v>
      </c>
      <c r="O111" s="1" t="s">
        <v>194</v>
      </c>
      <c r="P111" s="1" t="s">
        <v>183</v>
      </c>
      <c r="Q111" s="1" t="s">
        <v>57</v>
      </c>
      <c r="R111" s="2">
        <v>45604</v>
      </c>
      <c r="S111" s="1" t="s">
        <v>34</v>
      </c>
      <c r="T111" s="1" t="s">
        <v>35</v>
      </c>
      <c r="U111" s="1" t="s">
        <v>29</v>
      </c>
      <c r="W111" s="1" t="s">
        <v>36</v>
      </c>
      <c r="X111" s="1" t="str">
        <f>IF(urbanthreads_q4[[#This Row],[Qty]]&gt;0,"Valid","Invalid")</f>
        <v>Valid</v>
      </c>
      <c r="Y111" s="1">
        <f>urbanthreads_q4[[#This Row],[Total]]*urbanthreads_q4[[#This Row],[Disc %]]/100</f>
        <v>359.8</v>
      </c>
      <c r="Z111" s="1">
        <f>urbanthreads_q4[[#This Row],[Total]]-urbanthreads_q4[[#This Row],[Disc %]]</f>
        <v>1779</v>
      </c>
      <c r="AA111" s="1">
        <f>urbanthreads_q4[[#This Row],[Net revenue]]/urbanthreads_q4[[#This Row],[Total]]</f>
        <v>0.98888271261812122</v>
      </c>
      <c r="AB111" s="1" t="str">
        <f>TEXT(urbanthreads_q4[[#This Row],[Order Date]],"mm-yyyy")</f>
        <v>10-2024</v>
      </c>
      <c r="AC111" s="1" t="str">
        <f>YEAR(urbanthreads_q4[[#This Row],[Order Date]]) &amp; "-W" &amp; WEEKNUM(urbanthreads_q4[[#This Row],[Order Date]], 2)</f>
        <v>2024-W43</v>
      </c>
      <c r="AD111" s="1" t="str">
        <f>IF(urbanthreads_q4[[#This Row],[Payment]]="COD","COD","Prepaid")</f>
        <v>Prepaid</v>
      </c>
    </row>
    <row r="112" spans="1:30" x14ac:dyDescent="0.3">
      <c r="A112" s="1" t="s">
        <v>1174</v>
      </c>
      <c r="B112" s="2">
        <v>45638</v>
      </c>
      <c r="C112" s="1" t="s">
        <v>1175</v>
      </c>
      <c r="D112" s="1" t="s">
        <v>25</v>
      </c>
      <c r="E112" s="1" t="s">
        <v>1176</v>
      </c>
      <c r="F112" s="1" t="s">
        <v>27</v>
      </c>
      <c r="G112" s="1" t="s">
        <v>1177</v>
      </c>
      <c r="H112">
        <v>2199</v>
      </c>
      <c r="I112">
        <v>1</v>
      </c>
      <c r="J112">
        <v>2199</v>
      </c>
      <c r="K112" s="1" t="s">
        <v>29</v>
      </c>
      <c r="L112">
        <v>0</v>
      </c>
      <c r="M112" s="1" t="s">
        <v>65</v>
      </c>
      <c r="N112" s="1" t="s">
        <v>66</v>
      </c>
      <c r="O112" s="1" t="s">
        <v>182</v>
      </c>
      <c r="P112" s="1" t="s">
        <v>183</v>
      </c>
      <c r="Q112" s="1" t="s">
        <v>57</v>
      </c>
      <c r="R112" s="2">
        <v>45654</v>
      </c>
      <c r="S112" s="1" t="s">
        <v>34</v>
      </c>
      <c r="T112" s="1" t="s">
        <v>47</v>
      </c>
      <c r="U112" s="1" t="s">
        <v>69</v>
      </c>
      <c r="V112" s="2">
        <v>45680</v>
      </c>
      <c r="W112" s="1" t="s">
        <v>49</v>
      </c>
      <c r="X112" s="1" t="str">
        <f>IF(urbanthreads_q4[[#This Row],[Qty]]&gt;0,"Valid","Invalid")</f>
        <v>Valid</v>
      </c>
      <c r="Y112" s="1">
        <f>urbanthreads_q4[[#This Row],[Total]]*urbanthreads_q4[[#This Row],[Disc %]]/100</f>
        <v>0</v>
      </c>
      <c r="Z112" s="1">
        <f>urbanthreads_q4[[#This Row],[Total]]-urbanthreads_q4[[#This Row],[Disc %]]</f>
        <v>2199</v>
      </c>
      <c r="AA112" s="1">
        <f>urbanthreads_q4[[#This Row],[Net revenue]]/urbanthreads_q4[[#This Row],[Total]]</f>
        <v>1</v>
      </c>
      <c r="AB112" s="1" t="str">
        <f>TEXT(urbanthreads_q4[[#This Row],[Order Date]],"mm-yyyy")</f>
        <v>12-2024</v>
      </c>
      <c r="AC112" s="1" t="str">
        <f>YEAR(urbanthreads_q4[[#This Row],[Order Date]]) &amp; "-W" &amp; WEEKNUM(urbanthreads_q4[[#This Row],[Order Date]], 2)</f>
        <v>2024-W50</v>
      </c>
      <c r="AD112" s="1" t="str">
        <f>IF(urbanthreads_q4[[#This Row],[Payment]]="COD","COD","Prepaid")</f>
        <v>Prepaid</v>
      </c>
    </row>
    <row r="113" spans="1:30" x14ac:dyDescent="0.3">
      <c r="A113" s="1" t="s">
        <v>1182</v>
      </c>
      <c r="B113" s="2">
        <v>45638</v>
      </c>
      <c r="C113" s="1" t="s">
        <v>1183</v>
      </c>
      <c r="D113" s="1" t="s">
        <v>25</v>
      </c>
      <c r="E113" s="1" t="s">
        <v>1184</v>
      </c>
      <c r="F113" s="1" t="s">
        <v>54</v>
      </c>
      <c r="G113" s="1" t="s">
        <v>1185</v>
      </c>
      <c r="H113">
        <v>2399</v>
      </c>
      <c r="I113">
        <v>1</v>
      </c>
      <c r="J113">
        <v>2399</v>
      </c>
      <c r="K113" s="1" t="s">
        <v>29</v>
      </c>
      <c r="L113">
        <v>0</v>
      </c>
      <c r="M113" s="1" t="s">
        <v>30</v>
      </c>
      <c r="N113" s="1" t="s">
        <v>45</v>
      </c>
      <c r="O113" s="1" t="s">
        <v>194</v>
      </c>
      <c r="P113" s="1" t="s">
        <v>183</v>
      </c>
      <c r="Q113" s="1" t="s">
        <v>57</v>
      </c>
      <c r="R113" s="2">
        <v>45655</v>
      </c>
      <c r="S113" s="1" t="s">
        <v>34</v>
      </c>
      <c r="T113" s="1" t="s">
        <v>47</v>
      </c>
      <c r="U113" s="1" t="s">
        <v>105</v>
      </c>
      <c r="V113" s="2">
        <v>45683</v>
      </c>
      <c r="W113" s="1" t="s">
        <v>49</v>
      </c>
      <c r="X113" s="1" t="str">
        <f>IF(urbanthreads_q4[[#This Row],[Qty]]&gt;0,"Valid","Invalid")</f>
        <v>Valid</v>
      </c>
      <c r="Y113" s="1">
        <f>urbanthreads_q4[[#This Row],[Total]]*urbanthreads_q4[[#This Row],[Disc %]]/100</f>
        <v>0</v>
      </c>
      <c r="Z113" s="1">
        <f>urbanthreads_q4[[#This Row],[Total]]-urbanthreads_q4[[#This Row],[Disc %]]</f>
        <v>2399</v>
      </c>
      <c r="AA113" s="1">
        <f>urbanthreads_q4[[#This Row],[Net revenue]]/urbanthreads_q4[[#This Row],[Total]]</f>
        <v>1</v>
      </c>
      <c r="AB113" s="1" t="str">
        <f>TEXT(urbanthreads_q4[[#This Row],[Order Date]],"mm-yyyy")</f>
        <v>12-2024</v>
      </c>
      <c r="AC113" s="1" t="str">
        <f>YEAR(urbanthreads_q4[[#This Row],[Order Date]]) &amp; "-W" &amp; WEEKNUM(urbanthreads_q4[[#This Row],[Order Date]], 2)</f>
        <v>2024-W50</v>
      </c>
      <c r="AD113" s="1" t="str">
        <f>IF(urbanthreads_q4[[#This Row],[Payment]]="COD","COD","Prepaid")</f>
        <v>Prepaid</v>
      </c>
    </row>
    <row r="114" spans="1:30" x14ac:dyDescent="0.3">
      <c r="A114" s="1" t="s">
        <v>1194</v>
      </c>
      <c r="B114" s="2">
        <v>45639</v>
      </c>
      <c r="C114" s="1" t="s">
        <v>1195</v>
      </c>
      <c r="D114" s="1" t="s">
        <v>25</v>
      </c>
      <c r="E114" s="1" t="s">
        <v>1196</v>
      </c>
      <c r="F114" s="1" t="s">
        <v>27</v>
      </c>
      <c r="G114" s="1" t="s">
        <v>1197</v>
      </c>
      <c r="H114">
        <v>2399</v>
      </c>
      <c r="I114">
        <v>1</v>
      </c>
      <c r="J114">
        <v>2399</v>
      </c>
      <c r="K114" s="1" t="s">
        <v>29</v>
      </c>
      <c r="L114">
        <v>0</v>
      </c>
      <c r="M114" s="1" t="s">
        <v>65</v>
      </c>
      <c r="N114" s="1" t="s">
        <v>45</v>
      </c>
      <c r="O114" s="1" t="s">
        <v>209</v>
      </c>
      <c r="P114" s="1" t="s">
        <v>98</v>
      </c>
      <c r="Q114" s="1" t="s">
        <v>32</v>
      </c>
      <c r="R114" s="2">
        <v>45656</v>
      </c>
      <c r="S114" s="1" t="s">
        <v>34</v>
      </c>
      <c r="T114" s="1" t="s">
        <v>47</v>
      </c>
      <c r="U114" s="1" t="s">
        <v>48</v>
      </c>
      <c r="V114" s="2">
        <v>45684</v>
      </c>
      <c r="W114" s="1" t="s">
        <v>49</v>
      </c>
      <c r="X114" s="1" t="str">
        <f>IF(urbanthreads_q4[[#This Row],[Qty]]&gt;0,"Valid","Invalid")</f>
        <v>Valid</v>
      </c>
      <c r="Y114" s="1">
        <f>urbanthreads_q4[[#This Row],[Total]]*urbanthreads_q4[[#This Row],[Disc %]]/100</f>
        <v>0</v>
      </c>
      <c r="Z114" s="1">
        <f>urbanthreads_q4[[#This Row],[Total]]-urbanthreads_q4[[#This Row],[Disc %]]</f>
        <v>2399</v>
      </c>
      <c r="AA114" s="1">
        <f>urbanthreads_q4[[#This Row],[Net revenue]]/urbanthreads_q4[[#This Row],[Total]]</f>
        <v>1</v>
      </c>
      <c r="AB114" s="1" t="str">
        <f>TEXT(urbanthreads_q4[[#This Row],[Order Date]],"mm-yyyy")</f>
        <v>12-2024</v>
      </c>
      <c r="AC114" s="1" t="str">
        <f>YEAR(urbanthreads_q4[[#This Row],[Order Date]]) &amp; "-W" &amp; WEEKNUM(urbanthreads_q4[[#This Row],[Order Date]], 2)</f>
        <v>2024-W50</v>
      </c>
      <c r="AD114" s="1" t="str">
        <f>IF(urbanthreads_q4[[#This Row],[Payment]]="COD","COD","Prepaid")</f>
        <v>Prepaid</v>
      </c>
    </row>
    <row r="115" spans="1:30" x14ac:dyDescent="0.3">
      <c r="A115" s="1" t="s">
        <v>546</v>
      </c>
      <c r="B115" s="2">
        <v>45593</v>
      </c>
      <c r="C115" s="1" t="s">
        <v>547</v>
      </c>
      <c r="D115" s="1" t="s">
        <v>39</v>
      </c>
      <c r="E115" s="1" t="s">
        <v>369</v>
      </c>
      <c r="F115" s="1" t="s">
        <v>72</v>
      </c>
      <c r="G115" s="1" t="s">
        <v>548</v>
      </c>
      <c r="H115">
        <v>1599</v>
      </c>
      <c r="I115">
        <v>1</v>
      </c>
      <c r="J115">
        <v>1599</v>
      </c>
      <c r="K115" s="1" t="s">
        <v>537</v>
      </c>
      <c r="L115">
        <v>40</v>
      </c>
      <c r="M115" s="1" t="s">
        <v>44</v>
      </c>
      <c r="N115" s="1" t="s">
        <v>31</v>
      </c>
      <c r="O115" s="1" t="s">
        <v>113</v>
      </c>
      <c r="P115" s="1" t="s">
        <v>114</v>
      </c>
      <c r="Q115" s="1" t="s">
        <v>46</v>
      </c>
      <c r="R115" s="2">
        <v>45599</v>
      </c>
      <c r="S115" s="1" t="s">
        <v>34</v>
      </c>
      <c r="T115" s="1" t="s">
        <v>35</v>
      </c>
      <c r="U115" s="1" t="s">
        <v>29</v>
      </c>
      <c r="W115" s="1" t="s">
        <v>36</v>
      </c>
      <c r="X115" s="1" t="str">
        <f>IF(urbanthreads_q4[[#This Row],[Qty]]&gt;0,"Valid","Invalid")</f>
        <v>Valid</v>
      </c>
      <c r="Y115" s="1">
        <f>urbanthreads_q4[[#This Row],[Total]]*urbanthreads_q4[[#This Row],[Disc %]]/100</f>
        <v>639.6</v>
      </c>
      <c r="Z115" s="1">
        <f>urbanthreads_q4[[#This Row],[Total]]-urbanthreads_q4[[#This Row],[Disc %]]</f>
        <v>1559</v>
      </c>
      <c r="AA115" s="1">
        <f>urbanthreads_q4[[#This Row],[Net revenue]]/urbanthreads_q4[[#This Row],[Total]]</f>
        <v>0.9749843652282677</v>
      </c>
      <c r="AB115" s="1" t="str">
        <f>TEXT(urbanthreads_q4[[#This Row],[Order Date]],"mm-yyyy")</f>
        <v>10-2024</v>
      </c>
      <c r="AC115" s="1" t="str">
        <f>YEAR(urbanthreads_q4[[#This Row],[Order Date]]) &amp; "-W" &amp; WEEKNUM(urbanthreads_q4[[#This Row],[Order Date]], 2)</f>
        <v>2024-W44</v>
      </c>
      <c r="AD115" s="1" t="str">
        <f>IF(urbanthreads_q4[[#This Row],[Payment]]="COD","COD","Prepaid")</f>
        <v>Prepaid</v>
      </c>
    </row>
    <row r="116" spans="1:30" x14ac:dyDescent="0.3">
      <c r="A116" s="1" t="s">
        <v>549</v>
      </c>
      <c r="B116" s="2">
        <v>45593</v>
      </c>
      <c r="C116" s="1" t="s">
        <v>550</v>
      </c>
      <c r="D116" s="1" t="s">
        <v>25</v>
      </c>
      <c r="E116" s="1" t="s">
        <v>551</v>
      </c>
      <c r="F116" s="1" t="s">
        <v>54</v>
      </c>
      <c r="G116" s="1" t="s">
        <v>254</v>
      </c>
      <c r="H116">
        <v>1899</v>
      </c>
      <c r="I116">
        <v>1</v>
      </c>
      <c r="J116">
        <v>1899</v>
      </c>
      <c r="K116" s="1" t="s">
        <v>537</v>
      </c>
      <c r="L116">
        <v>40</v>
      </c>
      <c r="M116" s="1" t="s">
        <v>56</v>
      </c>
      <c r="N116" s="1" t="s">
        <v>45</v>
      </c>
      <c r="O116" s="1" t="s">
        <v>67</v>
      </c>
      <c r="P116" s="1" t="s">
        <v>68</v>
      </c>
      <c r="Q116" s="1" t="s">
        <v>57</v>
      </c>
      <c r="S116" s="1" t="s">
        <v>121</v>
      </c>
      <c r="T116" s="1" t="s">
        <v>35</v>
      </c>
      <c r="U116" s="1" t="s">
        <v>29</v>
      </c>
      <c r="W116" s="1" t="s">
        <v>36</v>
      </c>
      <c r="X116" s="1" t="str">
        <f>IF(urbanthreads_q4[[#This Row],[Qty]]&gt;0,"Valid","Invalid")</f>
        <v>Valid</v>
      </c>
      <c r="Y116" s="1">
        <f>urbanthreads_q4[[#This Row],[Total]]*urbanthreads_q4[[#This Row],[Disc %]]/100</f>
        <v>759.6</v>
      </c>
      <c r="Z116" s="1">
        <f>urbanthreads_q4[[#This Row],[Total]]-urbanthreads_q4[[#This Row],[Disc %]]</f>
        <v>1859</v>
      </c>
      <c r="AA116" s="1">
        <f>urbanthreads_q4[[#This Row],[Net revenue]]/urbanthreads_q4[[#This Row],[Total]]</f>
        <v>0.97893628225381779</v>
      </c>
      <c r="AB116" s="1" t="str">
        <f>TEXT(urbanthreads_q4[[#This Row],[Order Date]],"mm-yyyy")</f>
        <v>10-2024</v>
      </c>
      <c r="AC116" s="1" t="str">
        <f>YEAR(urbanthreads_q4[[#This Row],[Order Date]]) &amp; "-W" &amp; WEEKNUM(urbanthreads_q4[[#This Row],[Order Date]], 2)</f>
        <v>2024-W44</v>
      </c>
      <c r="AD116" s="1" t="str">
        <f>IF(urbanthreads_q4[[#This Row],[Payment]]="COD","COD","Prepaid")</f>
        <v>COD</v>
      </c>
    </row>
    <row r="117" spans="1:30" x14ac:dyDescent="0.3">
      <c r="A117" s="1" t="s">
        <v>1198</v>
      </c>
      <c r="B117" s="2">
        <v>45639</v>
      </c>
      <c r="C117" s="1" t="s">
        <v>1199</v>
      </c>
      <c r="D117" s="1" t="s">
        <v>25</v>
      </c>
      <c r="E117" s="1" t="s">
        <v>1200</v>
      </c>
      <c r="F117" s="1" t="s">
        <v>41</v>
      </c>
      <c r="G117" s="1" t="s">
        <v>1201</v>
      </c>
      <c r="H117">
        <v>5999</v>
      </c>
      <c r="I117">
        <v>1</v>
      </c>
      <c r="J117">
        <v>5999</v>
      </c>
      <c r="K117" s="1" t="s">
        <v>29</v>
      </c>
      <c r="L117">
        <v>0</v>
      </c>
      <c r="M117" s="1" t="s">
        <v>44</v>
      </c>
      <c r="N117" s="1" t="s">
        <v>66</v>
      </c>
      <c r="O117" s="1" t="s">
        <v>214</v>
      </c>
      <c r="P117" s="1" t="s">
        <v>114</v>
      </c>
      <c r="Q117" s="1" t="s">
        <v>46</v>
      </c>
      <c r="R117" s="2">
        <v>45657</v>
      </c>
      <c r="S117" s="1" t="s">
        <v>34</v>
      </c>
      <c r="T117" s="1" t="s">
        <v>47</v>
      </c>
      <c r="U117" s="1" t="s">
        <v>139</v>
      </c>
      <c r="V117" s="2">
        <v>45685</v>
      </c>
      <c r="W117" s="1" t="s">
        <v>49</v>
      </c>
      <c r="X117" s="1" t="str">
        <f>IF(urbanthreads_q4[[#This Row],[Qty]]&gt;0,"Valid","Invalid")</f>
        <v>Valid</v>
      </c>
      <c r="Y117" s="1">
        <f>urbanthreads_q4[[#This Row],[Total]]*urbanthreads_q4[[#This Row],[Disc %]]/100</f>
        <v>0</v>
      </c>
      <c r="Z117" s="1">
        <f>urbanthreads_q4[[#This Row],[Total]]-urbanthreads_q4[[#This Row],[Disc %]]</f>
        <v>5999</v>
      </c>
      <c r="AA117" s="1">
        <f>urbanthreads_q4[[#This Row],[Net revenue]]/urbanthreads_q4[[#This Row],[Total]]</f>
        <v>1</v>
      </c>
      <c r="AB117" s="1" t="str">
        <f>TEXT(urbanthreads_q4[[#This Row],[Order Date]],"mm-yyyy")</f>
        <v>12-2024</v>
      </c>
      <c r="AC117" s="1" t="str">
        <f>YEAR(urbanthreads_q4[[#This Row],[Order Date]]) &amp; "-W" &amp; WEEKNUM(urbanthreads_q4[[#This Row],[Order Date]], 2)</f>
        <v>2024-W50</v>
      </c>
      <c r="AD117" s="1" t="str">
        <f>IF(urbanthreads_q4[[#This Row],[Payment]]="COD","COD","Prepaid")</f>
        <v>Prepaid</v>
      </c>
    </row>
    <row r="118" spans="1:30" x14ac:dyDescent="0.3">
      <c r="A118" s="1" t="s">
        <v>1206</v>
      </c>
      <c r="B118" s="2">
        <v>45640</v>
      </c>
      <c r="C118" s="1" t="s">
        <v>1207</v>
      </c>
      <c r="D118" s="1" t="s">
        <v>39</v>
      </c>
      <c r="E118" s="1" t="s">
        <v>1208</v>
      </c>
      <c r="F118" s="1" t="s">
        <v>62</v>
      </c>
      <c r="G118" s="1" t="s">
        <v>1209</v>
      </c>
      <c r="H118">
        <v>4999</v>
      </c>
      <c r="I118">
        <v>1</v>
      </c>
      <c r="J118">
        <v>4999</v>
      </c>
      <c r="K118" s="1" t="s">
        <v>29</v>
      </c>
      <c r="L118">
        <v>0</v>
      </c>
      <c r="M118" s="1" t="s">
        <v>56</v>
      </c>
      <c r="N118" s="1" t="s">
        <v>45</v>
      </c>
      <c r="O118" s="1" t="s">
        <v>46</v>
      </c>
      <c r="P118" s="1" t="s">
        <v>46</v>
      </c>
      <c r="Q118" s="1" t="s">
        <v>46</v>
      </c>
      <c r="R118" s="2">
        <v>45657</v>
      </c>
      <c r="S118" s="1" t="s">
        <v>34</v>
      </c>
      <c r="T118" s="1" t="s">
        <v>47</v>
      </c>
      <c r="U118" s="1" t="s">
        <v>80</v>
      </c>
      <c r="V118" s="2">
        <v>45686</v>
      </c>
      <c r="W118" s="1" t="s">
        <v>49</v>
      </c>
      <c r="X118" s="1" t="str">
        <f>IF(urbanthreads_q4[[#This Row],[Qty]]&gt;0,"Valid","Invalid")</f>
        <v>Valid</v>
      </c>
      <c r="Y118" s="1">
        <f>urbanthreads_q4[[#This Row],[Total]]*urbanthreads_q4[[#This Row],[Disc %]]/100</f>
        <v>0</v>
      </c>
      <c r="Z118" s="1">
        <f>urbanthreads_q4[[#This Row],[Total]]-urbanthreads_q4[[#This Row],[Disc %]]</f>
        <v>4999</v>
      </c>
      <c r="AA118" s="1">
        <f>urbanthreads_q4[[#This Row],[Net revenue]]/urbanthreads_q4[[#This Row],[Total]]</f>
        <v>1</v>
      </c>
      <c r="AB118" s="1" t="str">
        <f>TEXT(urbanthreads_q4[[#This Row],[Order Date]],"mm-yyyy")</f>
        <v>12-2024</v>
      </c>
      <c r="AC118" s="1" t="str">
        <f>YEAR(urbanthreads_q4[[#This Row],[Order Date]]) &amp; "-W" &amp; WEEKNUM(urbanthreads_q4[[#This Row],[Order Date]], 2)</f>
        <v>2024-W50</v>
      </c>
      <c r="AD118" s="1" t="str">
        <f>IF(urbanthreads_q4[[#This Row],[Payment]]="COD","COD","Prepaid")</f>
        <v>COD</v>
      </c>
    </row>
    <row r="119" spans="1:30" x14ac:dyDescent="0.3">
      <c r="A119" s="1" t="s">
        <v>1210</v>
      </c>
      <c r="B119" s="2">
        <v>45640</v>
      </c>
      <c r="C119" s="1" t="s">
        <v>1211</v>
      </c>
      <c r="D119" s="1" t="s">
        <v>25</v>
      </c>
      <c r="E119" s="1" t="s">
        <v>1212</v>
      </c>
      <c r="F119" s="1" t="s">
        <v>72</v>
      </c>
      <c r="G119" s="1" t="s">
        <v>1213</v>
      </c>
      <c r="H119">
        <v>1699</v>
      </c>
      <c r="I119">
        <v>1</v>
      </c>
      <c r="J119">
        <v>1699</v>
      </c>
      <c r="K119" s="1" t="s">
        <v>29</v>
      </c>
      <c r="L119">
        <v>0</v>
      </c>
      <c r="M119" s="1" t="s">
        <v>112</v>
      </c>
      <c r="N119" s="1" t="s">
        <v>66</v>
      </c>
      <c r="O119" s="1" t="s">
        <v>91</v>
      </c>
      <c r="P119" s="1" t="s">
        <v>92</v>
      </c>
      <c r="Q119" s="1" t="s">
        <v>46</v>
      </c>
      <c r="R119" s="2">
        <v>45656</v>
      </c>
      <c r="S119" s="1" t="s">
        <v>34</v>
      </c>
      <c r="T119" s="1" t="s">
        <v>47</v>
      </c>
      <c r="U119" s="1" t="s">
        <v>69</v>
      </c>
      <c r="V119" s="2">
        <v>45683</v>
      </c>
      <c r="W119" s="1" t="s">
        <v>49</v>
      </c>
      <c r="X119" s="1" t="str">
        <f>IF(urbanthreads_q4[[#This Row],[Qty]]&gt;0,"Valid","Invalid")</f>
        <v>Valid</v>
      </c>
      <c r="Y119" s="1">
        <f>urbanthreads_q4[[#This Row],[Total]]*urbanthreads_q4[[#This Row],[Disc %]]/100</f>
        <v>0</v>
      </c>
      <c r="Z119" s="1">
        <f>urbanthreads_q4[[#This Row],[Total]]-urbanthreads_q4[[#This Row],[Disc %]]</f>
        <v>1699</v>
      </c>
      <c r="AA119" s="1">
        <f>urbanthreads_q4[[#This Row],[Net revenue]]/urbanthreads_q4[[#This Row],[Total]]</f>
        <v>1</v>
      </c>
      <c r="AB119" s="1" t="str">
        <f>TEXT(urbanthreads_q4[[#This Row],[Order Date]],"mm-yyyy")</f>
        <v>12-2024</v>
      </c>
      <c r="AC119" s="1" t="str">
        <f>YEAR(urbanthreads_q4[[#This Row],[Order Date]]) &amp; "-W" &amp; WEEKNUM(urbanthreads_q4[[#This Row],[Order Date]], 2)</f>
        <v>2024-W50</v>
      </c>
      <c r="AD119" s="1" t="str">
        <f>IF(urbanthreads_q4[[#This Row],[Payment]]="COD","COD","Prepaid")</f>
        <v>Prepaid</v>
      </c>
    </row>
    <row r="120" spans="1:30" x14ac:dyDescent="0.3">
      <c r="A120" s="1" t="s">
        <v>1218</v>
      </c>
      <c r="B120" s="2">
        <v>45640</v>
      </c>
      <c r="C120" s="1" t="s">
        <v>1219</v>
      </c>
      <c r="D120" s="1" t="s">
        <v>25</v>
      </c>
      <c r="E120" s="1" t="s">
        <v>217</v>
      </c>
      <c r="F120" s="1" t="s">
        <v>41</v>
      </c>
      <c r="G120" s="1" t="s">
        <v>1220</v>
      </c>
      <c r="H120">
        <v>4599</v>
      </c>
      <c r="I120">
        <v>1</v>
      </c>
      <c r="J120">
        <v>4599</v>
      </c>
      <c r="K120" s="1" t="s">
        <v>29</v>
      </c>
      <c r="L120">
        <v>0</v>
      </c>
      <c r="M120" s="1" t="s">
        <v>44</v>
      </c>
      <c r="N120" s="1" t="s">
        <v>45</v>
      </c>
      <c r="O120" s="1" t="s">
        <v>78</v>
      </c>
      <c r="P120" s="1" t="s">
        <v>79</v>
      </c>
      <c r="Q120" s="1" t="s">
        <v>57</v>
      </c>
      <c r="R120" s="2">
        <v>45659</v>
      </c>
      <c r="S120" s="1" t="s">
        <v>34</v>
      </c>
      <c r="T120" s="1" t="s">
        <v>47</v>
      </c>
      <c r="U120" s="1" t="s">
        <v>48</v>
      </c>
      <c r="V120" s="2">
        <v>45687</v>
      </c>
      <c r="W120" s="1" t="s">
        <v>49</v>
      </c>
      <c r="X120" s="1" t="str">
        <f>IF(urbanthreads_q4[[#This Row],[Qty]]&gt;0,"Valid","Invalid")</f>
        <v>Valid</v>
      </c>
      <c r="Y120" s="1">
        <f>urbanthreads_q4[[#This Row],[Total]]*urbanthreads_q4[[#This Row],[Disc %]]/100</f>
        <v>0</v>
      </c>
      <c r="Z120" s="1">
        <f>urbanthreads_q4[[#This Row],[Total]]-urbanthreads_q4[[#This Row],[Disc %]]</f>
        <v>4599</v>
      </c>
      <c r="AA120" s="1">
        <f>urbanthreads_q4[[#This Row],[Net revenue]]/urbanthreads_q4[[#This Row],[Total]]</f>
        <v>1</v>
      </c>
      <c r="AB120" s="1" t="str">
        <f>TEXT(urbanthreads_q4[[#This Row],[Order Date]],"mm-yyyy")</f>
        <v>12-2024</v>
      </c>
      <c r="AC120" s="1" t="str">
        <f>YEAR(urbanthreads_q4[[#This Row],[Order Date]]) &amp; "-W" &amp; WEEKNUM(urbanthreads_q4[[#This Row],[Order Date]], 2)</f>
        <v>2024-W50</v>
      </c>
      <c r="AD120" s="1" t="str">
        <f>IF(urbanthreads_q4[[#This Row],[Payment]]="COD","COD","Prepaid")</f>
        <v>Prepaid</v>
      </c>
    </row>
    <row r="121" spans="1:30" x14ac:dyDescent="0.3">
      <c r="A121" s="1" t="s">
        <v>1225</v>
      </c>
      <c r="B121" s="2">
        <v>45641</v>
      </c>
      <c r="C121" s="1" t="s">
        <v>1226</v>
      </c>
      <c r="D121" s="1" t="s">
        <v>39</v>
      </c>
      <c r="E121" s="1" t="s">
        <v>1227</v>
      </c>
      <c r="F121" s="1" t="s">
        <v>62</v>
      </c>
      <c r="G121" s="1" t="s">
        <v>1228</v>
      </c>
      <c r="H121">
        <v>5799</v>
      </c>
      <c r="I121">
        <v>1</v>
      </c>
      <c r="J121">
        <v>5799</v>
      </c>
      <c r="K121" s="1" t="s">
        <v>995</v>
      </c>
      <c r="L121">
        <v>20</v>
      </c>
      <c r="M121" s="1" t="s">
        <v>56</v>
      </c>
      <c r="N121" s="1" t="s">
        <v>31</v>
      </c>
      <c r="O121" s="1" t="s">
        <v>97</v>
      </c>
      <c r="P121" s="1" t="s">
        <v>98</v>
      </c>
      <c r="Q121" s="1" t="s">
        <v>32</v>
      </c>
      <c r="R121" s="2">
        <v>45660</v>
      </c>
      <c r="S121" s="1" t="s">
        <v>34</v>
      </c>
      <c r="T121" s="1" t="s">
        <v>47</v>
      </c>
      <c r="U121" s="1" t="s">
        <v>105</v>
      </c>
      <c r="V121" s="2">
        <v>45688</v>
      </c>
      <c r="W121" s="1" t="s">
        <v>49</v>
      </c>
      <c r="X121" s="1" t="str">
        <f>IF(urbanthreads_q4[[#This Row],[Qty]]&gt;0,"Valid","Invalid")</f>
        <v>Valid</v>
      </c>
      <c r="Y121" s="1">
        <f>urbanthreads_q4[[#This Row],[Total]]*urbanthreads_q4[[#This Row],[Disc %]]/100</f>
        <v>1159.8</v>
      </c>
      <c r="Z121" s="1">
        <f>urbanthreads_q4[[#This Row],[Total]]-urbanthreads_q4[[#This Row],[Disc %]]</f>
        <v>5779</v>
      </c>
      <c r="AA121" s="1">
        <f>urbanthreads_q4[[#This Row],[Net revenue]]/urbanthreads_q4[[#This Row],[Total]]</f>
        <v>0.99655112950508706</v>
      </c>
      <c r="AB121" s="1" t="str">
        <f>TEXT(urbanthreads_q4[[#This Row],[Order Date]],"mm-yyyy")</f>
        <v>12-2024</v>
      </c>
      <c r="AC121" s="1" t="str">
        <f>YEAR(urbanthreads_q4[[#This Row],[Order Date]]) &amp; "-W" &amp; WEEKNUM(urbanthreads_q4[[#This Row],[Order Date]], 2)</f>
        <v>2024-W50</v>
      </c>
      <c r="AD121" s="1" t="str">
        <f>IF(urbanthreads_q4[[#This Row],[Payment]]="COD","COD","Prepaid")</f>
        <v>COD</v>
      </c>
    </row>
    <row r="122" spans="1:30" x14ac:dyDescent="0.3">
      <c r="A122" s="1" t="s">
        <v>1233</v>
      </c>
      <c r="B122" s="2">
        <v>45641</v>
      </c>
      <c r="C122" s="1" t="s">
        <v>1234</v>
      </c>
      <c r="D122" s="1" t="s">
        <v>25</v>
      </c>
      <c r="E122" s="1" t="s">
        <v>1235</v>
      </c>
      <c r="F122" s="1" t="s">
        <v>27</v>
      </c>
      <c r="G122" s="1" t="s">
        <v>1236</v>
      </c>
      <c r="H122">
        <v>1999</v>
      </c>
      <c r="I122">
        <v>1</v>
      </c>
      <c r="J122">
        <v>1999</v>
      </c>
      <c r="K122" s="1" t="s">
        <v>29</v>
      </c>
      <c r="L122">
        <v>0</v>
      </c>
      <c r="M122" s="1" t="s">
        <v>65</v>
      </c>
      <c r="N122" s="1" t="s">
        <v>66</v>
      </c>
      <c r="O122" s="1" t="s">
        <v>113</v>
      </c>
      <c r="P122" s="1" t="s">
        <v>114</v>
      </c>
      <c r="Q122" s="1" t="s">
        <v>46</v>
      </c>
      <c r="R122" s="2">
        <v>45660</v>
      </c>
      <c r="S122" s="1" t="s">
        <v>34</v>
      </c>
      <c r="T122" s="1" t="s">
        <v>47</v>
      </c>
      <c r="U122" s="1" t="s">
        <v>139</v>
      </c>
      <c r="V122" s="2">
        <v>45687</v>
      </c>
      <c r="W122" s="1" t="s">
        <v>49</v>
      </c>
      <c r="X122" s="1" t="str">
        <f>IF(urbanthreads_q4[[#This Row],[Qty]]&gt;0,"Valid","Invalid")</f>
        <v>Valid</v>
      </c>
      <c r="Y122" s="1">
        <f>urbanthreads_q4[[#This Row],[Total]]*urbanthreads_q4[[#This Row],[Disc %]]/100</f>
        <v>0</v>
      </c>
      <c r="Z122" s="1">
        <f>urbanthreads_q4[[#This Row],[Total]]-urbanthreads_q4[[#This Row],[Disc %]]</f>
        <v>1999</v>
      </c>
      <c r="AA122" s="1">
        <f>urbanthreads_q4[[#This Row],[Net revenue]]/urbanthreads_q4[[#This Row],[Total]]</f>
        <v>1</v>
      </c>
      <c r="AB122" s="1" t="str">
        <f>TEXT(urbanthreads_q4[[#This Row],[Order Date]],"mm-yyyy")</f>
        <v>12-2024</v>
      </c>
      <c r="AC122" s="1" t="str">
        <f>YEAR(urbanthreads_q4[[#This Row],[Order Date]]) &amp; "-W" &amp; WEEKNUM(urbanthreads_q4[[#This Row],[Order Date]], 2)</f>
        <v>2024-W50</v>
      </c>
      <c r="AD122" s="1" t="str">
        <f>IF(urbanthreads_q4[[#This Row],[Payment]]="COD","COD","Prepaid")</f>
        <v>Prepaid</v>
      </c>
    </row>
    <row r="123" spans="1:30" x14ac:dyDescent="0.3">
      <c r="A123" s="1" t="s">
        <v>1020</v>
      </c>
      <c r="B123" s="2">
        <v>45628</v>
      </c>
      <c r="C123" s="1" t="s">
        <v>1021</v>
      </c>
      <c r="D123" s="1" t="s">
        <v>25</v>
      </c>
      <c r="E123" s="1" t="s">
        <v>444</v>
      </c>
      <c r="F123" s="1" t="s">
        <v>62</v>
      </c>
      <c r="G123" s="1" t="s">
        <v>445</v>
      </c>
      <c r="H123">
        <v>3299</v>
      </c>
      <c r="I123">
        <v>1</v>
      </c>
      <c r="J123">
        <v>3299</v>
      </c>
      <c r="K123" s="1" t="s">
        <v>29</v>
      </c>
      <c r="L123">
        <v>0</v>
      </c>
      <c r="M123" s="1" t="s">
        <v>30</v>
      </c>
      <c r="N123" s="1" t="s">
        <v>31</v>
      </c>
      <c r="O123" s="1" t="s">
        <v>1022</v>
      </c>
      <c r="P123" s="1" t="s">
        <v>1023</v>
      </c>
      <c r="Q123" s="1" t="s">
        <v>46</v>
      </c>
      <c r="R123" s="2">
        <v>45637</v>
      </c>
      <c r="S123" s="1" t="s">
        <v>34</v>
      </c>
      <c r="T123" s="1" t="s">
        <v>47</v>
      </c>
      <c r="U123" s="1" t="s">
        <v>105</v>
      </c>
      <c r="V123" s="2">
        <v>45659</v>
      </c>
      <c r="W123" s="1" t="s">
        <v>106</v>
      </c>
      <c r="X123" s="1" t="str">
        <f>IF(urbanthreads_q4[[#This Row],[Qty]]&gt;0,"Valid","Invalid")</f>
        <v>Valid</v>
      </c>
      <c r="Y123" s="1">
        <f>urbanthreads_q4[[#This Row],[Total]]*urbanthreads_q4[[#This Row],[Disc %]]/100</f>
        <v>0</v>
      </c>
      <c r="Z123" s="1">
        <f>urbanthreads_q4[[#This Row],[Total]]-urbanthreads_q4[[#This Row],[Disc %]]</f>
        <v>3299</v>
      </c>
      <c r="AA123" s="1">
        <f>urbanthreads_q4[[#This Row],[Net revenue]]/urbanthreads_q4[[#This Row],[Total]]</f>
        <v>1</v>
      </c>
      <c r="AB123" s="1" t="str">
        <f>TEXT(urbanthreads_q4[[#This Row],[Order Date]],"mm-yyyy")</f>
        <v>12-2024</v>
      </c>
      <c r="AC123" s="1" t="str">
        <f>YEAR(urbanthreads_q4[[#This Row],[Order Date]]) &amp; "-W" &amp; WEEKNUM(urbanthreads_q4[[#This Row],[Order Date]], 2)</f>
        <v>2024-W49</v>
      </c>
      <c r="AD123" s="1" t="str">
        <f>IF(urbanthreads_q4[[#This Row],[Payment]]="COD","COD","Prepaid")</f>
        <v>Prepaid</v>
      </c>
    </row>
    <row r="124" spans="1:30" x14ac:dyDescent="0.3">
      <c r="A124" s="1" t="s">
        <v>1029</v>
      </c>
      <c r="B124" s="2">
        <v>45629</v>
      </c>
      <c r="C124" s="1" t="s">
        <v>1030</v>
      </c>
      <c r="D124" s="1" t="s">
        <v>25</v>
      </c>
      <c r="E124" s="1" t="s">
        <v>1031</v>
      </c>
      <c r="F124" s="1" t="s">
        <v>27</v>
      </c>
      <c r="G124" s="1" t="s">
        <v>1032</v>
      </c>
      <c r="H124">
        <v>2199</v>
      </c>
      <c r="I124">
        <v>1</v>
      </c>
      <c r="J124">
        <v>2199</v>
      </c>
      <c r="K124" s="1" t="s">
        <v>29</v>
      </c>
      <c r="L124">
        <v>0</v>
      </c>
      <c r="M124" s="1" t="s">
        <v>65</v>
      </c>
      <c r="N124" s="1" t="s">
        <v>66</v>
      </c>
      <c r="O124" s="1" t="s">
        <v>1033</v>
      </c>
      <c r="P124" s="1" t="s">
        <v>92</v>
      </c>
      <c r="Q124" s="1" t="s">
        <v>46</v>
      </c>
      <c r="R124" s="2">
        <v>45638</v>
      </c>
      <c r="S124" s="1" t="s">
        <v>34</v>
      </c>
      <c r="T124" s="1" t="s">
        <v>47</v>
      </c>
      <c r="U124" s="1" t="s">
        <v>48</v>
      </c>
      <c r="V124" s="2">
        <v>45660</v>
      </c>
      <c r="W124" s="1" t="s">
        <v>49</v>
      </c>
      <c r="X124" s="1" t="str">
        <f>IF(urbanthreads_q4[[#This Row],[Qty]]&gt;0,"Valid","Invalid")</f>
        <v>Valid</v>
      </c>
      <c r="Y124" s="1">
        <f>urbanthreads_q4[[#This Row],[Total]]*urbanthreads_q4[[#This Row],[Disc %]]/100</f>
        <v>0</v>
      </c>
      <c r="Z124" s="1">
        <f>urbanthreads_q4[[#This Row],[Total]]-urbanthreads_q4[[#This Row],[Disc %]]</f>
        <v>2199</v>
      </c>
      <c r="AA124" s="1">
        <f>urbanthreads_q4[[#This Row],[Net revenue]]/urbanthreads_q4[[#This Row],[Total]]</f>
        <v>1</v>
      </c>
      <c r="AB124" s="1" t="str">
        <f>TEXT(urbanthreads_q4[[#This Row],[Order Date]],"mm-yyyy")</f>
        <v>12-2024</v>
      </c>
      <c r="AC124" s="1" t="str">
        <f>YEAR(urbanthreads_q4[[#This Row],[Order Date]]) &amp; "-W" &amp; WEEKNUM(urbanthreads_q4[[#This Row],[Order Date]], 2)</f>
        <v>2024-W49</v>
      </c>
      <c r="AD124" s="1" t="str">
        <f>IF(urbanthreads_q4[[#This Row],[Payment]]="COD","COD","Prepaid")</f>
        <v>Prepaid</v>
      </c>
    </row>
    <row r="125" spans="1:30" x14ac:dyDescent="0.3">
      <c r="A125" s="1" t="s">
        <v>584</v>
      </c>
      <c r="B125" s="2">
        <v>45595</v>
      </c>
      <c r="C125" s="1" t="s">
        <v>585</v>
      </c>
      <c r="D125" s="1" t="s">
        <v>39</v>
      </c>
      <c r="E125" s="1" t="s">
        <v>586</v>
      </c>
      <c r="F125" s="1" t="s">
        <v>62</v>
      </c>
      <c r="G125" s="1" t="s">
        <v>587</v>
      </c>
      <c r="H125">
        <v>4999</v>
      </c>
      <c r="I125">
        <v>1</v>
      </c>
      <c r="J125">
        <v>4999</v>
      </c>
      <c r="K125" s="1" t="s">
        <v>537</v>
      </c>
      <c r="L125">
        <v>40</v>
      </c>
      <c r="M125" s="1" t="s">
        <v>65</v>
      </c>
      <c r="N125" s="1" t="s">
        <v>45</v>
      </c>
      <c r="O125" s="1" t="s">
        <v>46</v>
      </c>
      <c r="P125" s="1" t="s">
        <v>46</v>
      </c>
      <c r="Q125" s="1" t="s">
        <v>46</v>
      </c>
      <c r="R125" s="2">
        <v>45606</v>
      </c>
      <c r="S125" s="1" t="s">
        <v>34</v>
      </c>
      <c r="T125" s="1" t="s">
        <v>35</v>
      </c>
      <c r="U125" s="1" t="s">
        <v>29</v>
      </c>
      <c r="W125" s="1" t="s">
        <v>36</v>
      </c>
      <c r="X125" s="1" t="str">
        <f>IF(urbanthreads_q4[[#This Row],[Qty]]&gt;0,"Valid","Invalid")</f>
        <v>Valid</v>
      </c>
      <c r="Y125" s="1">
        <f>urbanthreads_q4[[#This Row],[Total]]*urbanthreads_q4[[#This Row],[Disc %]]/100</f>
        <v>1999.6</v>
      </c>
      <c r="Z125" s="1">
        <f>urbanthreads_q4[[#This Row],[Total]]-urbanthreads_q4[[#This Row],[Disc %]]</f>
        <v>4959</v>
      </c>
      <c r="AA125" s="1">
        <f>urbanthreads_q4[[#This Row],[Net revenue]]/urbanthreads_q4[[#This Row],[Total]]</f>
        <v>0.99199839967993597</v>
      </c>
      <c r="AB125" s="1" t="str">
        <f>TEXT(urbanthreads_q4[[#This Row],[Order Date]],"mm-yyyy")</f>
        <v>10-2024</v>
      </c>
      <c r="AC125" s="1" t="str">
        <f>YEAR(urbanthreads_q4[[#This Row],[Order Date]]) &amp; "-W" &amp; WEEKNUM(urbanthreads_q4[[#This Row],[Order Date]], 2)</f>
        <v>2024-W44</v>
      </c>
      <c r="AD125" s="1" t="str">
        <f>IF(urbanthreads_q4[[#This Row],[Payment]]="COD","COD","Prepaid")</f>
        <v>Prepaid</v>
      </c>
    </row>
    <row r="126" spans="1:30" x14ac:dyDescent="0.3">
      <c r="A126" s="1" t="s">
        <v>588</v>
      </c>
      <c r="B126" s="2">
        <v>45595</v>
      </c>
      <c r="C126" s="1" t="s">
        <v>589</v>
      </c>
      <c r="D126" s="1" t="s">
        <v>25</v>
      </c>
      <c r="E126" s="1" t="s">
        <v>590</v>
      </c>
      <c r="F126" s="1" t="s">
        <v>72</v>
      </c>
      <c r="G126" s="1" t="s">
        <v>591</v>
      </c>
      <c r="H126">
        <v>899</v>
      </c>
      <c r="I126">
        <v>1</v>
      </c>
      <c r="J126">
        <v>899</v>
      </c>
      <c r="K126" s="1" t="s">
        <v>537</v>
      </c>
      <c r="L126">
        <v>40</v>
      </c>
      <c r="M126" s="1" t="s">
        <v>30</v>
      </c>
      <c r="N126" s="1" t="s">
        <v>31</v>
      </c>
      <c r="O126" s="1" t="s">
        <v>592</v>
      </c>
      <c r="P126" s="1" t="s">
        <v>114</v>
      </c>
      <c r="Q126" s="1" t="s">
        <v>46</v>
      </c>
      <c r="R126" s="2">
        <v>45606</v>
      </c>
      <c r="S126" s="1" t="s">
        <v>34</v>
      </c>
      <c r="T126" s="1" t="s">
        <v>35</v>
      </c>
      <c r="U126" s="1" t="s">
        <v>29</v>
      </c>
      <c r="W126" s="1" t="s">
        <v>36</v>
      </c>
      <c r="X126" s="1" t="str">
        <f>IF(urbanthreads_q4[[#This Row],[Qty]]&gt;0,"Valid","Invalid")</f>
        <v>Valid</v>
      </c>
      <c r="Y126" s="1">
        <f>urbanthreads_q4[[#This Row],[Total]]*urbanthreads_q4[[#This Row],[Disc %]]/100</f>
        <v>359.6</v>
      </c>
      <c r="Z126" s="1">
        <f>urbanthreads_q4[[#This Row],[Total]]-urbanthreads_q4[[#This Row],[Disc %]]</f>
        <v>859</v>
      </c>
      <c r="AA126" s="1">
        <f>urbanthreads_q4[[#This Row],[Net revenue]]/urbanthreads_q4[[#This Row],[Total]]</f>
        <v>0.95550611790878759</v>
      </c>
      <c r="AB126" s="1" t="str">
        <f>TEXT(urbanthreads_q4[[#This Row],[Order Date]],"mm-yyyy")</f>
        <v>10-2024</v>
      </c>
      <c r="AC126" s="1" t="str">
        <f>YEAR(urbanthreads_q4[[#This Row],[Order Date]]) &amp; "-W" &amp; WEEKNUM(urbanthreads_q4[[#This Row],[Order Date]], 2)</f>
        <v>2024-W44</v>
      </c>
      <c r="AD126" s="1" t="str">
        <f>IF(urbanthreads_q4[[#This Row],[Payment]]="COD","COD","Prepaid")</f>
        <v>Prepaid</v>
      </c>
    </row>
    <row r="127" spans="1:30" x14ac:dyDescent="0.3">
      <c r="A127" s="1" t="s">
        <v>1039</v>
      </c>
      <c r="B127" s="2">
        <v>45629</v>
      </c>
      <c r="C127" s="1" t="s">
        <v>1040</v>
      </c>
      <c r="D127" s="1" t="s">
        <v>25</v>
      </c>
      <c r="E127" s="1" t="s">
        <v>1041</v>
      </c>
      <c r="F127" s="1" t="s">
        <v>54</v>
      </c>
      <c r="G127" s="1" t="s">
        <v>1042</v>
      </c>
      <c r="H127">
        <v>2999</v>
      </c>
      <c r="I127">
        <v>1</v>
      </c>
      <c r="J127">
        <v>2999</v>
      </c>
      <c r="K127" s="1" t="s">
        <v>29</v>
      </c>
      <c r="L127">
        <v>0</v>
      </c>
      <c r="M127" s="1" t="s">
        <v>30</v>
      </c>
      <c r="N127" s="1" t="s">
        <v>45</v>
      </c>
      <c r="O127" s="1" t="s">
        <v>1043</v>
      </c>
      <c r="P127" s="1" t="s">
        <v>1044</v>
      </c>
      <c r="Q127" s="1" t="s">
        <v>46</v>
      </c>
      <c r="R127" s="2">
        <v>45640</v>
      </c>
      <c r="S127" s="1" t="s">
        <v>34</v>
      </c>
      <c r="T127" s="1" t="s">
        <v>47</v>
      </c>
      <c r="U127" s="1" t="s">
        <v>69</v>
      </c>
      <c r="V127" s="2">
        <v>45662</v>
      </c>
      <c r="W127" s="1" t="s">
        <v>49</v>
      </c>
      <c r="X127" s="1" t="str">
        <f>IF(urbanthreads_q4[[#This Row],[Qty]]&gt;0,"Valid","Invalid")</f>
        <v>Valid</v>
      </c>
      <c r="Y127" s="1">
        <f>urbanthreads_q4[[#This Row],[Total]]*urbanthreads_q4[[#This Row],[Disc %]]/100</f>
        <v>0</v>
      </c>
      <c r="Z127" s="1">
        <f>urbanthreads_q4[[#This Row],[Total]]-urbanthreads_q4[[#This Row],[Disc %]]</f>
        <v>2999</v>
      </c>
      <c r="AA127" s="1">
        <f>urbanthreads_q4[[#This Row],[Net revenue]]/urbanthreads_q4[[#This Row],[Total]]</f>
        <v>1</v>
      </c>
      <c r="AB127" s="1" t="str">
        <f>TEXT(urbanthreads_q4[[#This Row],[Order Date]],"mm-yyyy")</f>
        <v>12-2024</v>
      </c>
      <c r="AC127" s="1" t="str">
        <f>YEAR(urbanthreads_q4[[#This Row],[Order Date]]) &amp; "-W" &amp; WEEKNUM(urbanthreads_q4[[#This Row],[Order Date]], 2)</f>
        <v>2024-W49</v>
      </c>
      <c r="AD127" s="1" t="str">
        <f>IF(urbanthreads_q4[[#This Row],[Payment]]="COD","COD","Prepaid")</f>
        <v>Prepaid</v>
      </c>
    </row>
    <row r="128" spans="1:30" x14ac:dyDescent="0.3">
      <c r="A128" s="1" t="s">
        <v>1061</v>
      </c>
      <c r="B128" s="2">
        <v>45630</v>
      </c>
      <c r="C128" s="1" t="s">
        <v>1062</v>
      </c>
      <c r="D128" s="1" t="s">
        <v>25</v>
      </c>
      <c r="E128" s="1" t="s">
        <v>1063</v>
      </c>
      <c r="F128" s="1" t="s">
        <v>41</v>
      </c>
      <c r="G128" s="1" t="s">
        <v>1064</v>
      </c>
      <c r="H128">
        <v>4999</v>
      </c>
      <c r="I128">
        <v>1</v>
      </c>
      <c r="J128">
        <v>4999</v>
      </c>
      <c r="K128" s="1" t="s">
        <v>29</v>
      </c>
      <c r="L128">
        <v>0</v>
      </c>
      <c r="M128" s="1" t="s">
        <v>65</v>
      </c>
      <c r="N128" s="1" t="s">
        <v>66</v>
      </c>
      <c r="O128" s="1" t="s">
        <v>1065</v>
      </c>
      <c r="P128" s="1" t="s">
        <v>1065</v>
      </c>
      <c r="Q128" s="1" t="s">
        <v>32</v>
      </c>
      <c r="R128" s="2">
        <v>45640</v>
      </c>
      <c r="S128" s="1" t="s">
        <v>34</v>
      </c>
      <c r="T128" s="1" t="s">
        <v>47</v>
      </c>
      <c r="U128" s="1" t="s">
        <v>48</v>
      </c>
      <c r="V128" s="2">
        <v>45663</v>
      </c>
      <c r="W128" s="1" t="s">
        <v>49</v>
      </c>
      <c r="X128" s="1" t="str">
        <f>IF(urbanthreads_q4[[#This Row],[Qty]]&gt;0,"Valid","Invalid")</f>
        <v>Valid</v>
      </c>
      <c r="Y128" s="1">
        <f>urbanthreads_q4[[#This Row],[Total]]*urbanthreads_q4[[#This Row],[Disc %]]/100</f>
        <v>0</v>
      </c>
      <c r="Z128" s="1">
        <f>urbanthreads_q4[[#This Row],[Total]]-urbanthreads_q4[[#This Row],[Disc %]]</f>
        <v>4999</v>
      </c>
      <c r="AA128" s="1">
        <f>urbanthreads_q4[[#This Row],[Net revenue]]/urbanthreads_q4[[#This Row],[Total]]</f>
        <v>1</v>
      </c>
      <c r="AB128" s="1" t="str">
        <f>TEXT(urbanthreads_q4[[#This Row],[Order Date]],"mm-yyyy")</f>
        <v>12-2024</v>
      </c>
      <c r="AC128" s="1" t="str">
        <f>YEAR(urbanthreads_q4[[#This Row],[Order Date]]) &amp; "-W" &amp; WEEKNUM(urbanthreads_q4[[#This Row],[Order Date]], 2)</f>
        <v>2024-W49</v>
      </c>
      <c r="AD128" s="1" t="str">
        <f>IF(urbanthreads_q4[[#This Row],[Payment]]="COD","COD","Prepaid")</f>
        <v>Prepaid</v>
      </c>
    </row>
    <row r="129" spans="1:30" x14ac:dyDescent="0.3">
      <c r="A129" s="1" t="s">
        <v>1070</v>
      </c>
      <c r="B129" s="2">
        <v>45631</v>
      </c>
      <c r="C129" s="1" t="s">
        <v>1071</v>
      </c>
      <c r="D129" s="1" t="s">
        <v>25</v>
      </c>
      <c r="E129" s="1" t="s">
        <v>1072</v>
      </c>
      <c r="F129" s="1" t="s">
        <v>54</v>
      </c>
      <c r="G129" s="1" t="s">
        <v>782</v>
      </c>
      <c r="H129">
        <v>2599</v>
      </c>
      <c r="I129">
        <v>1</v>
      </c>
      <c r="J129">
        <v>2599</v>
      </c>
      <c r="K129" s="1" t="s">
        <v>29</v>
      </c>
      <c r="L129">
        <v>0</v>
      </c>
      <c r="M129" s="1" t="s">
        <v>44</v>
      </c>
      <c r="N129" s="1" t="s">
        <v>45</v>
      </c>
      <c r="O129" s="1" t="s">
        <v>57</v>
      </c>
      <c r="P129" s="1" t="s">
        <v>58</v>
      </c>
      <c r="Q129" s="1" t="s">
        <v>57</v>
      </c>
      <c r="R129" s="2">
        <v>45641</v>
      </c>
      <c r="S129" s="1" t="s">
        <v>34</v>
      </c>
      <c r="T129" s="1" t="s">
        <v>47</v>
      </c>
      <c r="U129" s="1" t="s">
        <v>80</v>
      </c>
      <c r="V129" s="2">
        <v>45665</v>
      </c>
      <c r="W129" s="1" t="s">
        <v>49</v>
      </c>
      <c r="X129" s="1" t="str">
        <f>IF(urbanthreads_q4[[#This Row],[Qty]]&gt;0,"Valid","Invalid")</f>
        <v>Valid</v>
      </c>
      <c r="Y129" s="1">
        <f>urbanthreads_q4[[#This Row],[Total]]*urbanthreads_q4[[#This Row],[Disc %]]/100</f>
        <v>0</v>
      </c>
      <c r="Z129" s="1">
        <f>urbanthreads_q4[[#This Row],[Total]]-urbanthreads_q4[[#This Row],[Disc %]]</f>
        <v>2599</v>
      </c>
      <c r="AA129" s="1">
        <f>urbanthreads_q4[[#This Row],[Net revenue]]/urbanthreads_q4[[#This Row],[Total]]</f>
        <v>1</v>
      </c>
      <c r="AB129" s="1" t="str">
        <f>TEXT(urbanthreads_q4[[#This Row],[Order Date]],"mm-yyyy")</f>
        <v>12-2024</v>
      </c>
      <c r="AC129" s="1" t="str">
        <f>YEAR(urbanthreads_q4[[#This Row],[Order Date]]) &amp; "-W" &amp; WEEKNUM(urbanthreads_q4[[#This Row],[Order Date]], 2)</f>
        <v>2024-W49</v>
      </c>
      <c r="AD129" s="1" t="str">
        <f>IF(urbanthreads_q4[[#This Row],[Payment]]="COD","COD","Prepaid")</f>
        <v>Prepaid</v>
      </c>
    </row>
    <row r="130" spans="1:30" x14ac:dyDescent="0.3">
      <c r="A130" s="1" t="s">
        <v>1073</v>
      </c>
      <c r="B130" s="2">
        <v>45631</v>
      </c>
      <c r="C130" s="1" t="s">
        <v>1074</v>
      </c>
      <c r="D130" s="1" t="s">
        <v>39</v>
      </c>
      <c r="E130" s="1" t="s">
        <v>1075</v>
      </c>
      <c r="F130" s="1" t="s">
        <v>62</v>
      </c>
      <c r="G130" s="1" t="s">
        <v>1076</v>
      </c>
      <c r="H130">
        <v>8999</v>
      </c>
      <c r="I130">
        <v>1</v>
      </c>
      <c r="J130">
        <v>8999</v>
      </c>
      <c r="K130" s="1" t="s">
        <v>995</v>
      </c>
      <c r="L130">
        <v>20</v>
      </c>
      <c r="M130" s="1" t="s">
        <v>112</v>
      </c>
      <c r="N130" s="1" t="s">
        <v>66</v>
      </c>
      <c r="O130" s="1" t="s">
        <v>46</v>
      </c>
      <c r="P130" s="1" t="s">
        <v>46</v>
      </c>
      <c r="Q130" s="1" t="s">
        <v>46</v>
      </c>
      <c r="R130" s="2">
        <v>45643</v>
      </c>
      <c r="S130" s="1" t="s">
        <v>34</v>
      </c>
      <c r="T130" s="1" t="s">
        <v>47</v>
      </c>
      <c r="U130" s="1" t="s">
        <v>48</v>
      </c>
      <c r="V130" s="2">
        <v>45667</v>
      </c>
      <c r="W130" s="1" t="s">
        <v>106</v>
      </c>
      <c r="X130" s="1" t="str">
        <f>IF(urbanthreads_q4[[#This Row],[Qty]]&gt;0,"Valid","Invalid")</f>
        <v>Valid</v>
      </c>
      <c r="Y130" s="1">
        <f>urbanthreads_q4[[#This Row],[Total]]*urbanthreads_q4[[#This Row],[Disc %]]/100</f>
        <v>1799.8</v>
      </c>
      <c r="Z130" s="1">
        <f>urbanthreads_q4[[#This Row],[Total]]-urbanthreads_q4[[#This Row],[Disc %]]</f>
        <v>8979</v>
      </c>
      <c r="AA130" s="1">
        <f>urbanthreads_q4[[#This Row],[Net revenue]]/urbanthreads_q4[[#This Row],[Total]]</f>
        <v>0.99777753083675969</v>
      </c>
      <c r="AB130" s="1" t="str">
        <f>TEXT(urbanthreads_q4[[#This Row],[Order Date]],"mm-yyyy")</f>
        <v>12-2024</v>
      </c>
      <c r="AC130" s="1" t="str">
        <f>YEAR(urbanthreads_q4[[#This Row],[Order Date]]) &amp; "-W" &amp; WEEKNUM(urbanthreads_q4[[#This Row],[Order Date]], 2)</f>
        <v>2024-W49</v>
      </c>
      <c r="AD130" s="1" t="str">
        <f>IF(urbanthreads_q4[[#This Row],[Payment]]="COD","COD","Prepaid")</f>
        <v>Prepaid</v>
      </c>
    </row>
    <row r="131" spans="1:30" x14ac:dyDescent="0.3">
      <c r="A131" s="1" t="s">
        <v>608</v>
      </c>
      <c r="B131" s="2">
        <v>45596</v>
      </c>
      <c r="C131" s="1" t="s">
        <v>609</v>
      </c>
      <c r="D131" s="1" t="s">
        <v>25</v>
      </c>
      <c r="E131" s="1" t="s">
        <v>610</v>
      </c>
      <c r="F131" s="1" t="s">
        <v>72</v>
      </c>
      <c r="G131" s="1" t="s">
        <v>611</v>
      </c>
      <c r="H131">
        <v>1199</v>
      </c>
      <c r="I131">
        <v>1</v>
      </c>
      <c r="J131">
        <v>1199</v>
      </c>
      <c r="K131" s="1" t="s">
        <v>537</v>
      </c>
      <c r="L131">
        <v>40</v>
      </c>
      <c r="M131" s="1" t="s">
        <v>56</v>
      </c>
      <c r="N131" s="1" t="s">
        <v>31</v>
      </c>
      <c r="O131" s="1" t="s">
        <v>144</v>
      </c>
      <c r="P131" s="1" t="s">
        <v>145</v>
      </c>
      <c r="Q131" s="1" t="s">
        <v>46</v>
      </c>
      <c r="S131" s="1" t="s">
        <v>121</v>
      </c>
      <c r="T131" s="1" t="s">
        <v>35</v>
      </c>
      <c r="U131" s="1" t="s">
        <v>29</v>
      </c>
      <c r="W131" s="1" t="s">
        <v>36</v>
      </c>
      <c r="X131" s="1" t="str">
        <f>IF(urbanthreads_q4[[#This Row],[Qty]]&gt;0,"Valid","Invalid")</f>
        <v>Valid</v>
      </c>
      <c r="Y131" s="1">
        <f>urbanthreads_q4[[#This Row],[Total]]*urbanthreads_q4[[#This Row],[Disc %]]/100</f>
        <v>479.6</v>
      </c>
      <c r="Z131" s="1">
        <f>urbanthreads_q4[[#This Row],[Total]]-urbanthreads_q4[[#This Row],[Disc %]]</f>
        <v>1159</v>
      </c>
      <c r="AA131" s="1">
        <f>urbanthreads_q4[[#This Row],[Net revenue]]/urbanthreads_q4[[#This Row],[Total]]</f>
        <v>0.96663886572143454</v>
      </c>
      <c r="AB131" s="1" t="str">
        <f>TEXT(urbanthreads_q4[[#This Row],[Order Date]],"mm-yyyy")</f>
        <v>10-2024</v>
      </c>
      <c r="AC131" s="1" t="str">
        <f>YEAR(urbanthreads_q4[[#This Row],[Order Date]]) &amp; "-W" &amp; WEEKNUM(urbanthreads_q4[[#This Row],[Order Date]], 2)</f>
        <v>2024-W44</v>
      </c>
      <c r="AD131" s="1" t="str">
        <f>IF(urbanthreads_q4[[#This Row],[Payment]]="COD","COD","Prepaid")</f>
        <v>COD</v>
      </c>
    </row>
    <row r="132" spans="1:30" x14ac:dyDescent="0.3">
      <c r="A132" s="1" t="s">
        <v>1084</v>
      </c>
      <c r="B132" s="2">
        <v>45632</v>
      </c>
      <c r="C132" s="1" t="s">
        <v>1085</v>
      </c>
      <c r="D132" s="1" t="s">
        <v>25</v>
      </c>
      <c r="E132" s="1" t="s">
        <v>1086</v>
      </c>
      <c r="F132" s="1" t="s">
        <v>41</v>
      </c>
      <c r="G132" s="1" t="s">
        <v>1087</v>
      </c>
      <c r="H132">
        <v>3799</v>
      </c>
      <c r="I132">
        <v>1</v>
      </c>
      <c r="J132">
        <v>3799</v>
      </c>
      <c r="K132" s="1" t="s">
        <v>995</v>
      </c>
      <c r="L132">
        <v>20</v>
      </c>
      <c r="M132" s="1" t="s">
        <v>56</v>
      </c>
      <c r="N132" s="1" t="s">
        <v>66</v>
      </c>
      <c r="O132" s="1" t="s">
        <v>85</v>
      </c>
      <c r="P132" s="1" t="s">
        <v>33</v>
      </c>
      <c r="Q132" s="1" t="s">
        <v>32</v>
      </c>
      <c r="R132" s="2">
        <v>45644</v>
      </c>
      <c r="S132" s="1" t="s">
        <v>34</v>
      </c>
      <c r="T132" s="1" t="s">
        <v>47</v>
      </c>
      <c r="U132" s="1" t="s">
        <v>69</v>
      </c>
      <c r="V132" s="2">
        <v>45669</v>
      </c>
      <c r="W132" s="1" t="s">
        <v>49</v>
      </c>
      <c r="X132" s="1" t="str">
        <f>IF(urbanthreads_q4[[#This Row],[Qty]]&gt;0,"Valid","Invalid")</f>
        <v>Valid</v>
      </c>
      <c r="Y132" s="1">
        <f>urbanthreads_q4[[#This Row],[Total]]*urbanthreads_q4[[#This Row],[Disc %]]/100</f>
        <v>759.8</v>
      </c>
      <c r="Z132" s="1">
        <f>urbanthreads_q4[[#This Row],[Total]]-urbanthreads_q4[[#This Row],[Disc %]]</f>
        <v>3779</v>
      </c>
      <c r="AA132" s="1">
        <f>urbanthreads_q4[[#This Row],[Net revenue]]/urbanthreads_q4[[#This Row],[Total]]</f>
        <v>0.99473545669913133</v>
      </c>
      <c r="AB132" s="1" t="str">
        <f>TEXT(urbanthreads_q4[[#This Row],[Order Date]],"mm-yyyy")</f>
        <v>12-2024</v>
      </c>
      <c r="AC132" s="1" t="str">
        <f>YEAR(urbanthreads_q4[[#This Row],[Order Date]]) &amp; "-W" &amp; WEEKNUM(urbanthreads_q4[[#This Row],[Order Date]], 2)</f>
        <v>2024-W49</v>
      </c>
      <c r="AD132" s="1" t="str">
        <f>IF(urbanthreads_q4[[#This Row],[Payment]]="COD","COD","Prepaid")</f>
        <v>COD</v>
      </c>
    </row>
    <row r="133" spans="1:30" x14ac:dyDescent="0.3">
      <c r="A133" s="1" t="s">
        <v>1092</v>
      </c>
      <c r="B133" s="2">
        <v>45632</v>
      </c>
      <c r="C133" s="1" t="s">
        <v>1093</v>
      </c>
      <c r="D133" s="1" t="s">
        <v>39</v>
      </c>
      <c r="E133" s="1" t="s">
        <v>503</v>
      </c>
      <c r="F133" s="1" t="s">
        <v>62</v>
      </c>
      <c r="G133" s="1" t="s">
        <v>1094</v>
      </c>
      <c r="H133">
        <v>4599</v>
      </c>
      <c r="I133">
        <v>1</v>
      </c>
      <c r="J133">
        <v>4599</v>
      </c>
      <c r="K133" s="1" t="s">
        <v>995</v>
      </c>
      <c r="L133">
        <v>20</v>
      </c>
      <c r="M133" s="1" t="s">
        <v>30</v>
      </c>
      <c r="N133" s="1" t="s">
        <v>45</v>
      </c>
      <c r="O133" s="1" t="s">
        <v>103</v>
      </c>
      <c r="P133" s="1" t="s">
        <v>104</v>
      </c>
      <c r="Q133" s="1" t="s">
        <v>46</v>
      </c>
      <c r="R133" s="2">
        <v>45645</v>
      </c>
      <c r="S133" s="1" t="s">
        <v>34</v>
      </c>
      <c r="T133" s="1" t="s">
        <v>47</v>
      </c>
      <c r="U133" s="1" t="s">
        <v>48</v>
      </c>
      <c r="V133" s="2">
        <v>45671</v>
      </c>
      <c r="W133" s="1" t="s">
        <v>49</v>
      </c>
      <c r="X133" s="1" t="str">
        <f>IF(urbanthreads_q4[[#This Row],[Qty]]&gt;0,"Valid","Invalid")</f>
        <v>Valid</v>
      </c>
      <c r="Y133" s="1">
        <f>urbanthreads_q4[[#This Row],[Total]]*urbanthreads_q4[[#This Row],[Disc %]]/100</f>
        <v>919.8</v>
      </c>
      <c r="Z133" s="1">
        <f>urbanthreads_q4[[#This Row],[Total]]-urbanthreads_q4[[#This Row],[Disc %]]</f>
        <v>4579</v>
      </c>
      <c r="AA133" s="1">
        <f>urbanthreads_q4[[#This Row],[Net revenue]]/urbanthreads_q4[[#This Row],[Total]]</f>
        <v>0.99565122852794086</v>
      </c>
      <c r="AB133" s="1" t="str">
        <f>TEXT(urbanthreads_q4[[#This Row],[Order Date]],"mm-yyyy")</f>
        <v>12-2024</v>
      </c>
      <c r="AC133" s="1" t="str">
        <f>YEAR(urbanthreads_q4[[#This Row],[Order Date]]) &amp; "-W" &amp; WEEKNUM(urbanthreads_q4[[#This Row],[Order Date]], 2)</f>
        <v>2024-W49</v>
      </c>
      <c r="AD133" s="1" t="str">
        <f>IF(urbanthreads_q4[[#This Row],[Payment]]="COD","COD","Prepaid")</f>
        <v>Prepaid</v>
      </c>
    </row>
    <row r="134" spans="1:30" x14ac:dyDescent="0.3">
      <c r="A134" s="1" t="s">
        <v>620</v>
      </c>
      <c r="B134" s="2">
        <v>45597</v>
      </c>
      <c r="C134" s="1" t="s">
        <v>621</v>
      </c>
      <c r="D134" s="1" t="s">
        <v>25</v>
      </c>
      <c r="E134" s="1" t="s">
        <v>622</v>
      </c>
      <c r="F134" s="1" t="s">
        <v>54</v>
      </c>
      <c r="G134" s="1" t="s">
        <v>623</v>
      </c>
      <c r="H134">
        <v>2999</v>
      </c>
      <c r="I134">
        <v>1</v>
      </c>
      <c r="J134">
        <v>2999</v>
      </c>
      <c r="K134" s="1" t="s">
        <v>537</v>
      </c>
      <c r="L134">
        <v>40</v>
      </c>
      <c r="M134" s="1" t="s">
        <v>30</v>
      </c>
      <c r="N134" s="1" t="s">
        <v>31</v>
      </c>
      <c r="O134" s="1" t="s">
        <v>161</v>
      </c>
      <c r="P134" s="1" t="s">
        <v>162</v>
      </c>
      <c r="Q134" s="1" t="s">
        <v>46</v>
      </c>
      <c r="R134" s="2">
        <v>45607</v>
      </c>
      <c r="S134" s="1" t="s">
        <v>34</v>
      </c>
      <c r="T134" s="1" t="s">
        <v>35</v>
      </c>
      <c r="U134" s="1" t="s">
        <v>29</v>
      </c>
      <c r="W134" s="1" t="s">
        <v>36</v>
      </c>
      <c r="X134" s="1" t="str">
        <f>IF(urbanthreads_q4[[#This Row],[Qty]]&gt;0,"Valid","Invalid")</f>
        <v>Valid</v>
      </c>
      <c r="Y134" s="1">
        <f>urbanthreads_q4[[#This Row],[Total]]*urbanthreads_q4[[#This Row],[Disc %]]/100</f>
        <v>1199.5999999999999</v>
      </c>
      <c r="Z134" s="1">
        <f>urbanthreads_q4[[#This Row],[Total]]-urbanthreads_q4[[#This Row],[Disc %]]</f>
        <v>2959</v>
      </c>
      <c r="AA134" s="1">
        <f>urbanthreads_q4[[#This Row],[Net revenue]]/urbanthreads_q4[[#This Row],[Total]]</f>
        <v>0.98666222074024679</v>
      </c>
      <c r="AB134" s="1" t="str">
        <f>TEXT(urbanthreads_q4[[#This Row],[Order Date]],"mm-yyyy")</f>
        <v>11-2024</v>
      </c>
      <c r="AC134" s="1" t="str">
        <f>YEAR(urbanthreads_q4[[#This Row],[Order Date]]) &amp; "-W" &amp; WEEKNUM(urbanthreads_q4[[#This Row],[Order Date]], 2)</f>
        <v>2024-W44</v>
      </c>
      <c r="AD134" s="1" t="str">
        <f>IF(urbanthreads_q4[[#This Row],[Payment]]="COD","COD","Prepaid")</f>
        <v>Prepaid</v>
      </c>
    </row>
    <row r="135" spans="1:30" x14ac:dyDescent="0.3">
      <c r="A135" s="1" t="s">
        <v>1106</v>
      </c>
      <c r="B135" s="2">
        <v>45633</v>
      </c>
      <c r="C135" s="1" t="s">
        <v>1107</v>
      </c>
      <c r="D135" s="1" t="s">
        <v>25</v>
      </c>
      <c r="E135" s="1" t="s">
        <v>1108</v>
      </c>
      <c r="F135" s="1" t="s">
        <v>54</v>
      </c>
      <c r="G135" s="1" t="s">
        <v>942</v>
      </c>
      <c r="H135">
        <v>2199</v>
      </c>
      <c r="I135">
        <v>1</v>
      </c>
      <c r="J135">
        <v>2199</v>
      </c>
      <c r="K135" s="1" t="s">
        <v>29</v>
      </c>
      <c r="L135">
        <v>0</v>
      </c>
      <c r="M135" s="1" t="s">
        <v>56</v>
      </c>
      <c r="N135" s="1" t="s">
        <v>66</v>
      </c>
      <c r="O135" s="1" t="s">
        <v>46</v>
      </c>
      <c r="P135" s="1" t="s">
        <v>46</v>
      </c>
      <c r="Q135" s="1" t="s">
        <v>46</v>
      </c>
      <c r="R135" s="2">
        <v>45647</v>
      </c>
      <c r="S135" s="1" t="s">
        <v>34</v>
      </c>
      <c r="T135" s="1" t="s">
        <v>47</v>
      </c>
      <c r="U135" s="1" t="s">
        <v>139</v>
      </c>
      <c r="V135" s="2">
        <v>45672</v>
      </c>
      <c r="W135" s="1" t="s">
        <v>106</v>
      </c>
      <c r="X135" s="1" t="str">
        <f>IF(urbanthreads_q4[[#This Row],[Qty]]&gt;0,"Valid","Invalid")</f>
        <v>Valid</v>
      </c>
      <c r="Y135" s="1">
        <f>urbanthreads_q4[[#This Row],[Total]]*urbanthreads_q4[[#This Row],[Disc %]]/100</f>
        <v>0</v>
      </c>
      <c r="Z135" s="1">
        <f>urbanthreads_q4[[#This Row],[Total]]-urbanthreads_q4[[#This Row],[Disc %]]</f>
        <v>2199</v>
      </c>
      <c r="AA135" s="1">
        <f>urbanthreads_q4[[#This Row],[Net revenue]]/urbanthreads_q4[[#This Row],[Total]]</f>
        <v>1</v>
      </c>
      <c r="AB135" s="1" t="str">
        <f>TEXT(urbanthreads_q4[[#This Row],[Order Date]],"mm-yyyy")</f>
        <v>12-2024</v>
      </c>
      <c r="AC135" s="1" t="str">
        <f>YEAR(urbanthreads_q4[[#This Row],[Order Date]]) &amp; "-W" &amp; WEEKNUM(urbanthreads_q4[[#This Row],[Order Date]], 2)</f>
        <v>2024-W49</v>
      </c>
      <c r="AD135" s="1" t="str">
        <f>IF(urbanthreads_q4[[#This Row],[Payment]]="COD","COD","Prepaid")</f>
        <v>COD</v>
      </c>
    </row>
    <row r="136" spans="1:30" x14ac:dyDescent="0.3">
      <c r="A136" s="1" t="s">
        <v>628</v>
      </c>
      <c r="B136" s="2">
        <v>45597</v>
      </c>
      <c r="C136" s="1" t="s">
        <v>629</v>
      </c>
      <c r="D136" s="1" t="s">
        <v>25</v>
      </c>
      <c r="E136" s="1" t="s">
        <v>630</v>
      </c>
      <c r="F136" s="1" t="s">
        <v>72</v>
      </c>
      <c r="G136" s="1" t="s">
        <v>631</v>
      </c>
      <c r="H136">
        <v>999</v>
      </c>
      <c r="I136">
        <v>2</v>
      </c>
      <c r="J136">
        <v>1998</v>
      </c>
      <c r="K136" s="1" t="s">
        <v>537</v>
      </c>
      <c r="L136">
        <v>40</v>
      </c>
      <c r="M136" s="1" t="s">
        <v>65</v>
      </c>
      <c r="N136" s="1" t="s">
        <v>66</v>
      </c>
      <c r="O136" s="1" t="s">
        <v>172</v>
      </c>
      <c r="P136" s="1" t="s">
        <v>33</v>
      </c>
      <c r="Q136" s="1" t="s">
        <v>32</v>
      </c>
      <c r="R136" s="2">
        <v>45607</v>
      </c>
      <c r="S136" s="1" t="s">
        <v>34</v>
      </c>
      <c r="T136" s="1" t="s">
        <v>35</v>
      </c>
      <c r="U136" s="1" t="s">
        <v>29</v>
      </c>
      <c r="W136" s="1" t="s">
        <v>36</v>
      </c>
      <c r="X136" s="1" t="str">
        <f>IF(urbanthreads_q4[[#This Row],[Qty]]&gt;0,"Valid","Invalid")</f>
        <v>Valid</v>
      </c>
      <c r="Y136" s="1">
        <f>urbanthreads_q4[[#This Row],[Total]]*urbanthreads_q4[[#This Row],[Disc %]]/100</f>
        <v>799.2</v>
      </c>
      <c r="Z136" s="1">
        <f>urbanthreads_q4[[#This Row],[Total]]-urbanthreads_q4[[#This Row],[Disc %]]</f>
        <v>1958</v>
      </c>
      <c r="AA136" s="1">
        <f>urbanthreads_q4[[#This Row],[Net revenue]]/urbanthreads_q4[[#This Row],[Total]]</f>
        <v>0.97997997997997999</v>
      </c>
      <c r="AB136" s="1" t="str">
        <f>TEXT(urbanthreads_q4[[#This Row],[Order Date]],"mm-yyyy")</f>
        <v>11-2024</v>
      </c>
      <c r="AC136" s="1" t="str">
        <f>YEAR(urbanthreads_q4[[#This Row],[Order Date]]) &amp; "-W" &amp; WEEKNUM(urbanthreads_q4[[#This Row],[Order Date]], 2)</f>
        <v>2024-W44</v>
      </c>
      <c r="AD136" s="1" t="str">
        <f>IF(urbanthreads_q4[[#This Row],[Payment]]="COD","COD","Prepaid")</f>
        <v>Prepaid</v>
      </c>
    </row>
    <row r="137" spans="1:30" x14ac:dyDescent="0.3">
      <c r="A137" s="1" t="s">
        <v>1117</v>
      </c>
      <c r="B137" s="2">
        <v>45634</v>
      </c>
      <c r="C137" s="1" t="s">
        <v>1118</v>
      </c>
      <c r="D137" s="1" t="s">
        <v>25</v>
      </c>
      <c r="E137" s="1" t="s">
        <v>261</v>
      </c>
      <c r="F137" s="1" t="s">
        <v>27</v>
      </c>
      <c r="G137" s="1" t="s">
        <v>262</v>
      </c>
      <c r="H137">
        <v>1699</v>
      </c>
      <c r="I137">
        <v>2</v>
      </c>
      <c r="J137">
        <v>3398</v>
      </c>
      <c r="K137" s="1" t="s">
        <v>29</v>
      </c>
      <c r="L137">
        <v>0</v>
      </c>
      <c r="M137" s="1" t="s">
        <v>65</v>
      </c>
      <c r="N137" s="1" t="s">
        <v>66</v>
      </c>
      <c r="O137" s="1" t="s">
        <v>156</v>
      </c>
      <c r="P137" s="1" t="s">
        <v>98</v>
      </c>
      <c r="Q137" s="1" t="s">
        <v>32</v>
      </c>
      <c r="R137" s="2">
        <v>45648</v>
      </c>
      <c r="S137" s="1" t="s">
        <v>34</v>
      </c>
      <c r="T137" s="1" t="s">
        <v>47</v>
      </c>
      <c r="U137" s="1" t="s">
        <v>48</v>
      </c>
      <c r="V137" s="2">
        <v>45673</v>
      </c>
      <c r="W137" s="1" t="s">
        <v>49</v>
      </c>
      <c r="X137" s="1" t="str">
        <f>IF(urbanthreads_q4[[#This Row],[Qty]]&gt;0,"Valid","Invalid")</f>
        <v>Valid</v>
      </c>
      <c r="Y137" s="1">
        <f>urbanthreads_q4[[#This Row],[Total]]*urbanthreads_q4[[#This Row],[Disc %]]/100</f>
        <v>0</v>
      </c>
      <c r="Z137" s="1">
        <f>urbanthreads_q4[[#This Row],[Total]]-urbanthreads_q4[[#This Row],[Disc %]]</f>
        <v>3398</v>
      </c>
      <c r="AA137" s="1">
        <f>urbanthreads_q4[[#This Row],[Net revenue]]/urbanthreads_q4[[#This Row],[Total]]</f>
        <v>1</v>
      </c>
      <c r="AB137" s="1" t="str">
        <f>TEXT(urbanthreads_q4[[#This Row],[Order Date]],"mm-yyyy")</f>
        <v>12-2024</v>
      </c>
      <c r="AC137" s="1" t="str">
        <f>YEAR(urbanthreads_q4[[#This Row],[Order Date]]) &amp; "-W" &amp; WEEKNUM(urbanthreads_q4[[#This Row],[Order Date]], 2)</f>
        <v>2024-W49</v>
      </c>
      <c r="AD137" s="1" t="str">
        <f>IF(urbanthreads_q4[[#This Row],[Payment]]="COD","COD","Prepaid")</f>
        <v>Prepaid</v>
      </c>
    </row>
    <row r="138" spans="1:30" x14ac:dyDescent="0.3">
      <c r="A138" s="1" t="s">
        <v>1119</v>
      </c>
      <c r="B138" s="2">
        <v>45634</v>
      </c>
      <c r="C138" s="1" t="s">
        <v>1120</v>
      </c>
      <c r="D138" s="1" t="s">
        <v>25</v>
      </c>
      <c r="E138" s="1" t="s">
        <v>1121</v>
      </c>
      <c r="F138" s="1" t="s">
        <v>41</v>
      </c>
      <c r="G138" s="1" t="s">
        <v>1122</v>
      </c>
      <c r="H138">
        <v>2799</v>
      </c>
      <c r="I138">
        <v>1</v>
      </c>
      <c r="J138">
        <v>2799</v>
      </c>
      <c r="K138" s="1" t="s">
        <v>995</v>
      </c>
      <c r="L138">
        <v>20</v>
      </c>
      <c r="M138" s="1" t="s">
        <v>44</v>
      </c>
      <c r="N138" s="1" t="s">
        <v>31</v>
      </c>
      <c r="O138" s="1" t="s">
        <v>204</v>
      </c>
      <c r="P138" s="1" t="s">
        <v>98</v>
      </c>
      <c r="Q138" s="1" t="s">
        <v>32</v>
      </c>
      <c r="R138" s="2">
        <v>45649</v>
      </c>
      <c r="S138" s="1" t="s">
        <v>34</v>
      </c>
      <c r="T138" s="1" t="s">
        <v>47</v>
      </c>
      <c r="U138" s="1" t="s">
        <v>105</v>
      </c>
      <c r="V138" s="2">
        <v>45675</v>
      </c>
      <c r="W138" s="1" t="s">
        <v>49</v>
      </c>
      <c r="X138" s="1" t="str">
        <f>IF(urbanthreads_q4[[#This Row],[Qty]]&gt;0,"Valid","Invalid")</f>
        <v>Valid</v>
      </c>
      <c r="Y138" s="1">
        <f>urbanthreads_q4[[#This Row],[Total]]*urbanthreads_q4[[#This Row],[Disc %]]/100</f>
        <v>559.79999999999995</v>
      </c>
      <c r="Z138" s="1">
        <f>urbanthreads_q4[[#This Row],[Total]]-urbanthreads_q4[[#This Row],[Disc %]]</f>
        <v>2779</v>
      </c>
      <c r="AA138" s="1">
        <f>urbanthreads_q4[[#This Row],[Net revenue]]/urbanthreads_q4[[#This Row],[Total]]</f>
        <v>0.99285459092533046</v>
      </c>
      <c r="AB138" s="1" t="str">
        <f>TEXT(urbanthreads_q4[[#This Row],[Order Date]],"mm-yyyy")</f>
        <v>12-2024</v>
      </c>
      <c r="AC138" s="1" t="str">
        <f>YEAR(urbanthreads_q4[[#This Row],[Order Date]]) &amp; "-W" &amp; WEEKNUM(urbanthreads_q4[[#This Row],[Order Date]], 2)</f>
        <v>2024-W49</v>
      </c>
      <c r="AD138" s="1" t="str">
        <f>IF(urbanthreads_q4[[#This Row],[Payment]]="COD","COD","Prepaid")</f>
        <v>Prepaid</v>
      </c>
    </row>
    <row r="139" spans="1:30" x14ac:dyDescent="0.3">
      <c r="A139" s="1" t="s">
        <v>640</v>
      </c>
      <c r="B139" s="2">
        <v>45598</v>
      </c>
      <c r="C139" s="1" t="s">
        <v>641</v>
      </c>
      <c r="D139" s="1" t="s">
        <v>25</v>
      </c>
      <c r="E139" s="1" t="s">
        <v>642</v>
      </c>
      <c r="F139" s="1" t="s">
        <v>54</v>
      </c>
      <c r="G139" s="1" t="s">
        <v>643</v>
      </c>
      <c r="H139">
        <v>1799</v>
      </c>
      <c r="I139">
        <v>1</v>
      </c>
      <c r="J139">
        <v>1799</v>
      </c>
      <c r="K139" s="1" t="s">
        <v>537</v>
      </c>
      <c r="L139">
        <v>40</v>
      </c>
      <c r="M139" s="1" t="s">
        <v>44</v>
      </c>
      <c r="N139" s="1" t="s">
        <v>66</v>
      </c>
      <c r="O139" s="1" t="s">
        <v>188</v>
      </c>
      <c r="P139" s="1" t="s">
        <v>189</v>
      </c>
      <c r="Q139" s="1" t="s">
        <v>57</v>
      </c>
      <c r="R139" s="2">
        <v>45609</v>
      </c>
      <c r="S139" s="1" t="s">
        <v>34</v>
      </c>
      <c r="T139" s="1" t="s">
        <v>35</v>
      </c>
      <c r="U139" s="1" t="s">
        <v>29</v>
      </c>
      <c r="W139" s="1" t="s">
        <v>36</v>
      </c>
      <c r="X139" s="1" t="str">
        <f>IF(urbanthreads_q4[[#This Row],[Qty]]&gt;0,"Valid","Invalid")</f>
        <v>Valid</v>
      </c>
      <c r="Y139" s="1">
        <f>urbanthreads_q4[[#This Row],[Total]]*urbanthreads_q4[[#This Row],[Disc %]]/100</f>
        <v>719.6</v>
      </c>
      <c r="Z139" s="1">
        <f>urbanthreads_q4[[#This Row],[Total]]-urbanthreads_q4[[#This Row],[Disc %]]</f>
        <v>1759</v>
      </c>
      <c r="AA139" s="1">
        <f>urbanthreads_q4[[#This Row],[Net revenue]]/urbanthreads_q4[[#This Row],[Total]]</f>
        <v>0.97776542523624232</v>
      </c>
      <c r="AB139" s="1" t="str">
        <f>TEXT(urbanthreads_q4[[#This Row],[Order Date]],"mm-yyyy")</f>
        <v>11-2024</v>
      </c>
      <c r="AC139" s="1" t="str">
        <f>YEAR(urbanthreads_q4[[#This Row],[Order Date]]) &amp; "-W" &amp; WEEKNUM(urbanthreads_q4[[#This Row],[Order Date]], 2)</f>
        <v>2024-W44</v>
      </c>
      <c r="AD139" s="1" t="str">
        <f>IF(urbanthreads_q4[[#This Row],[Payment]]="COD","COD","Prepaid")</f>
        <v>Prepaid</v>
      </c>
    </row>
    <row r="140" spans="1:30" x14ac:dyDescent="0.3">
      <c r="A140" s="1" t="s">
        <v>919</v>
      </c>
      <c r="B140" s="2">
        <v>45621</v>
      </c>
      <c r="C140" s="1" t="s">
        <v>920</v>
      </c>
      <c r="D140" s="1" t="s">
        <v>39</v>
      </c>
      <c r="E140" s="1" t="s">
        <v>921</v>
      </c>
      <c r="F140" s="1" t="s">
        <v>54</v>
      </c>
      <c r="G140" s="1" t="s">
        <v>922</v>
      </c>
      <c r="H140">
        <v>2099</v>
      </c>
      <c r="I140">
        <v>1</v>
      </c>
      <c r="J140">
        <v>2099</v>
      </c>
      <c r="K140" s="1" t="s">
        <v>29</v>
      </c>
      <c r="L140">
        <v>0</v>
      </c>
      <c r="M140" s="1" t="s">
        <v>30</v>
      </c>
      <c r="N140" s="1" t="s">
        <v>31</v>
      </c>
      <c r="O140" s="1" t="s">
        <v>113</v>
      </c>
      <c r="P140" s="1" t="s">
        <v>114</v>
      </c>
      <c r="Q140" s="1" t="s">
        <v>46</v>
      </c>
      <c r="R140" s="2">
        <v>45635</v>
      </c>
      <c r="S140" s="1" t="s">
        <v>34</v>
      </c>
      <c r="T140" s="1" t="s">
        <v>47</v>
      </c>
      <c r="U140" s="1" t="s">
        <v>80</v>
      </c>
      <c r="V140" s="2">
        <v>45663</v>
      </c>
      <c r="W140" s="1" t="s">
        <v>49</v>
      </c>
      <c r="X140" s="1" t="str">
        <f>IF(urbanthreads_q4[[#This Row],[Qty]]&gt;0,"Valid","Invalid")</f>
        <v>Valid</v>
      </c>
      <c r="Y140" s="1">
        <f>urbanthreads_q4[[#This Row],[Total]]*urbanthreads_q4[[#This Row],[Disc %]]/100</f>
        <v>0</v>
      </c>
      <c r="Z140" s="1">
        <f>urbanthreads_q4[[#This Row],[Total]]-urbanthreads_q4[[#This Row],[Disc %]]</f>
        <v>2099</v>
      </c>
      <c r="AA140" s="1">
        <f>urbanthreads_q4[[#This Row],[Net revenue]]/urbanthreads_q4[[#This Row],[Total]]</f>
        <v>1</v>
      </c>
      <c r="AB140" s="1" t="str">
        <f>TEXT(urbanthreads_q4[[#This Row],[Order Date]],"mm-yyyy")</f>
        <v>11-2024</v>
      </c>
      <c r="AC140" s="1" t="str">
        <f>YEAR(urbanthreads_q4[[#This Row],[Order Date]]) &amp; "-W" &amp; WEEKNUM(urbanthreads_q4[[#This Row],[Order Date]], 2)</f>
        <v>2024-W48</v>
      </c>
      <c r="AD140" s="1" t="str">
        <f>IF(urbanthreads_q4[[#This Row],[Payment]]="COD","COD","Prepaid")</f>
        <v>Prepaid</v>
      </c>
    </row>
    <row r="141" spans="1:30" x14ac:dyDescent="0.3">
      <c r="A141" s="1" t="s">
        <v>923</v>
      </c>
      <c r="B141" s="2">
        <v>45621</v>
      </c>
      <c r="C141" s="1" t="s">
        <v>924</v>
      </c>
      <c r="D141" s="1" t="s">
        <v>25</v>
      </c>
      <c r="E141" s="1" t="s">
        <v>925</v>
      </c>
      <c r="F141" s="1" t="s">
        <v>62</v>
      </c>
      <c r="G141" s="1" t="s">
        <v>926</v>
      </c>
      <c r="H141">
        <v>5799</v>
      </c>
      <c r="I141">
        <v>1</v>
      </c>
      <c r="J141">
        <v>5799</v>
      </c>
      <c r="K141" s="1" t="s">
        <v>703</v>
      </c>
      <c r="L141">
        <v>15</v>
      </c>
      <c r="M141" s="1" t="s">
        <v>56</v>
      </c>
      <c r="N141" s="1" t="s">
        <v>45</v>
      </c>
      <c r="O141" s="1" t="s">
        <v>57</v>
      </c>
      <c r="P141" s="1" t="s">
        <v>58</v>
      </c>
      <c r="Q141" s="1" t="s">
        <v>57</v>
      </c>
      <c r="R141" s="2">
        <v>45638</v>
      </c>
      <c r="S141" s="1" t="s">
        <v>34</v>
      </c>
      <c r="T141" s="1" t="s">
        <v>47</v>
      </c>
      <c r="U141" s="1" t="s">
        <v>48</v>
      </c>
      <c r="V141" s="2">
        <v>45667</v>
      </c>
      <c r="W141" s="1" t="s">
        <v>49</v>
      </c>
      <c r="X141" s="1" t="str">
        <f>IF(urbanthreads_q4[[#This Row],[Qty]]&gt;0,"Valid","Invalid")</f>
        <v>Valid</v>
      </c>
      <c r="Y141" s="1">
        <f>urbanthreads_q4[[#This Row],[Total]]*urbanthreads_q4[[#This Row],[Disc %]]/100</f>
        <v>869.85</v>
      </c>
      <c r="Z141" s="1">
        <f>urbanthreads_q4[[#This Row],[Total]]-urbanthreads_q4[[#This Row],[Disc %]]</f>
        <v>5784</v>
      </c>
      <c r="AA141" s="1">
        <f>urbanthreads_q4[[#This Row],[Net revenue]]/urbanthreads_q4[[#This Row],[Total]]</f>
        <v>0.99741334712881535</v>
      </c>
      <c r="AB141" s="1" t="str">
        <f>TEXT(urbanthreads_q4[[#This Row],[Order Date]],"mm-yyyy")</f>
        <v>11-2024</v>
      </c>
      <c r="AC141" s="1" t="str">
        <f>YEAR(urbanthreads_q4[[#This Row],[Order Date]]) &amp; "-W" &amp; WEEKNUM(urbanthreads_q4[[#This Row],[Order Date]], 2)</f>
        <v>2024-W48</v>
      </c>
      <c r="AD141" s="1" t="str">
        <f>IF(urbanthreads_q4[[#This Row],[Payment]]="COD","COD","Prepaid")</f>
        <v>COD</v>
      </c>
    </row>
    <row r="142" spans="1:30" x14ac:dyDescent="0.3">
      <c r="A142" s="1" t="s">
        <v>931</v>
      </c>
      <c r="B142" s="2">
        <v>45622</v>
      </c>
      <c r="C142" s="1" t="s">
        <v>932</v>
      </c>
      <c r="D142" s="1" t="s">
        <v>25</v>
      </c>
      <c r="E142" s="1" t="s">
        <v>933</v>
      </c>
      <c r="F142" s="1" t="s">
        <v>27</v>
      </c>
      <c r="G142" s="1" t="s">
        <v>934</v>
      </c>
      <c r="H142">
        <v>1899</v>
      </c>
      <c r="I142">
        <v>1</v>
      </c>
      <c r="J142">
        <v>1899</v>
      </c>
      <c r="K142" s="1" t="s">
        <v>29</v>
      </c>
      <c r="L142">
        <v>0</v>
      </c>
      <c r="M142" s="1" t="s">
        <v>112</v>
      </c>
      <c r="N142" s="1" t="s">
        <v>31</v>
      </c>
      <c r="O142" s="1" t="s">
        <v>46</v>
      </c>
      <c r="P142" s="1" t="s">
        <v>46</v>
      </c>
      <c r="Q142" s="1" t="s">
        <v>46</v>
      </c>
      <c r="R142" s="2">
        <v>45637</v>
      </c>
      <c r="S142" s="1" t="s">
        <v>34</v>
      </c>
      <c r="T142" s="1" t="s">
        <v>47</v>
      </c>
      <c r="U142" s="1" t="s">
        <v>139</v>
      </c>
      <c r="V142" s="2">
        <v>45665</v>
      </c>
      <c r="W142" s="1" t="s">
        <v>49</v>
      </c>
      <c r="X142" s="1" t="str">
        <f>IF(urbanthreads_q4[[#This Row],[Qty]]&gt;0,"Valid","Invalid")</f>
        <v>Valid</v>
      </c>
      <c r="Y142" s="1">
        <f>urbanthreads_q4[[#This Row],[Total]]*urbanthreads_q4[[#This Row],[Disc %]]/100</f>
        <v>0</v>
      </c>
      <c r="Z142" s="1">
        <f>urbanthreads_q4[[#This Row],[Total]]-urbanthreads_q4[[#This Row],[Disc %]]</f>
        <v>1899</v>
      </c>
      <c r="AA142" s="1">
        <f>urbanthreads_q4[[#This Row],[Net revenue]]/urbanthreads_q4[[#This Row],[Total]]</f>
        <v>1</v>
      </c>
      <c r="AB142" s="1" t="str">
        <f>TEXT(urbanthreads_q4[[#This Row],[Order Date]],"mm-yyyy")</f>
        <v>11-2024</v>
      </c>
      <c r="AC142" s="1" t="str">
        <f>YEAR(urbanthreads_q4[[#This Row],[Order Date]]) &amp; "-W" &amp; WEEKNUM(urbanthreads_q4[[#This Row],[Order Date]], 2)</f>
        <v>2024-W48</v>
      </c>
      <c r="AD142" s="1" t="str">
        <f>IF(urbanthreads_q4[[#This Row],[Payment]]="COD","COD","Prepaid")</f>
        <v>Prepaid</v>
      </c>
    </row>
    <row r="143" spans="1:30" x14ac:dyDescent="0.3">
      <c r="A143" s="1" t="s">
        <v>939</v>
      </c>
      <c r="B143" s="2">
        <v>45622</v>
      </c>
      <c r="C143" s="1" t="s">
        <v>940</v>
      </c>
      <c r="D143" s="1" t="s">
        <v>39</v>
      </c>
      <c r="E143" s="1" t="s">
        <v>941</v>
      </c>
      <c r="F143" s="1" t="s">
        <v>54</v>
      </c>
      <c r="G143" s="1" t="s">
        <v>942</v>
      </c>
      <c r="H143">
        <v>2699</v>
      </c>
      <c r="I143">
        <v>1</v>
      </c>
      <c r="J143">
        <v>2699</v>
      </c>
      <c r="K143" s="1" t="s">
        <v>703</v>
      </c>
      <c r="L143">
        <v>15</v>
      </c>
      <c r="M143" s="1" t="s">
        <v>30</v>
      </c>
      <c r="N143" s="1" t="s">
        <v>66</v>
      </c>
      <c r="O143" s="1" t="s">
        <v>138</v>
      </c>
      <c r="P143" s="1" t="s">
        <v>114</v>
      </c>
      <c r="Q143" s="1" t="s">
        <v>46</v>
      </c>
      <c r="R143" s="2">
        <v>45637</v>
      </c>
      <c r="S143" s="1" t="s">
        <v>34</v>
      </c>
      <c r="T143" s="1" t="s">
        <v>47</v>
      </c>
      <c r="U143" s="1" t="s">
        <v>69</v>
      </c>
      <c r="V143" s="2">
        <v>45666</v>
      </c>
      <c r="W143" s="1" t="s">
        <v>49</v>
      </c>
      <c r="X143" s="1" t="str">
        <f>IF(urbanthreads_q4[[#This Row],[Qty]]&gt;0,"Valid","Invalid")</f>
        <v>Valid</v>
      </c>
      <c r="Y143" s="1">
        <f>urbanthreads_q4[[#This Row],[Total]]*urbanthreads_q4[[#This Row],[Disc %]]/100</f>
        <v>404.85</v>
      </c>
      <c r="Z143" s="1">
        <f>urbanthreads_q4[[#This Row],[Total]]-urbanthreads_q4[[#This Row],[Disc %]]</f>
        <v>2684</v>
      </c>
      <c r="AA143" s="1">
        <f>urbanthreads_q4[[#This Row],[Net revenue]]/urbanthreads_q4[[#This Row],[Total]]</f>
        <v>0.99444238606891444</v>
      </c>
      <c r="AB143" s="1" t="str">
        <f>TEXT(urbanthreads_q4[[#This Row],[Order Date]],"mm-yyyy")</f>
        <v>11-2024</v>
      </c>
      <c r="AC143" s="1" t="str">
        <f>YEAR(urbanthreads_q4[[#This Row],[Order Date]]) &amp; "-W" &amp; WEEKNUM(urbanthreads_q4[[#This Row],[Order Date]], 2)</f>
        <v>2024-W48</v>
      </c>
      <c r="AD143" s="1" t="str">
        <f>IF(urbanthreads_q4[[#This Row],[Payment]]="COD","COD","Prepaid")</f>
        <v>Prepaid</v>
      </c>
    </row>
    <row r="144" spans="1:30" x14ac:dyDescent="0.3">
      <c r="A144" s="1" t="s">
        <v>659</v>
      </c>
      <c r="B144" s="2">
        <v>45599</v>
      </c>
      <c r="C144" s="1" t="s">
        <v>660</v>
      </c>
      <c r="D144" s="1" t="s">
        <v>39</v>
      </c>
      <c r="E144" s="1" t="s">
        <v>661</v>
      </c>
      <c r="F144" s="1" t="s">
        <v>54</v>
      </c>
      <c r="G144" s="1" t="s">
        <v>662</v>
      </c>
      <c r="H144">
        <v>2599</v>
      </c>
      <c r="I144">
        <v>1</v>
      </c>
      <c r="J144">
        <v>2599</v>
      </c>
      <c r="K144" s="1" t="s">
        <v>537</v>
      </c>
      <c r="L144">
        <v>40</v>
      </c>
      <c r="M144" s="1" t="s">
        <v>56</v>
      </c>
      <c r="N144" s="1" t="s">
        <v>45</v>
      </c>
      <c r="O144" s="1" t="s">
        <v>214</v>
      </c>
      <c r="P144" s="1" t="s">
        <v>114</v>
      </c>
      <c r="Q144" s="1" t="s">
        <v>46</v>
      </c>
      <c r="R144" s="2">
        <v>45611</v>
      </c>
      <c r="S144" s="1" t="s">
        <v>34</v>
      </c>
      <c r="T144" s="1" t="s">
        <v>35</v>
      </c>
      <c r="U144" s="1" t="s">
        <v>29</v>
      </c>
      <c r="W144" s="1" t="s">
        <v>36</v>
      </c>
      <c r="X144" s="1" t="str">
        <f>IF(urbanthreads_q4[[#This Row],[Qty]]&gt;0,"Valid","Invalid")</f>
        <v>Valid</v>
      </c>
      <c r="Y144" s="1">
        <f>urbanthreads_q4[[#This Row],[Total]]*urbanthreads_q4[[#This Row],[Disc %]]/100</f>
        <v>1039.5999999999999</v>
      </c>
      <c r="Z144" s="1">
        <f>urbanthreads_q4[[#This Row],[Total]]-urbanthreads_q4[[#This Row],[Disc %]]</f>
        <v>2559</v>
      </c>
      <c r="AA144" s="1">
        <f>urbanthreads_q4[[#This Row],[Net revenue]]/urbanthreads_q4[[#This Row],[Total]]</f>
        <v>0.98460946517891501</v>
      </c>
      <c r="AB144" s="1" t="str">
        <f>TEXT(urbanthreads_q4[[#This Row],[Order Date]],"mm-yyyy")</f>
        <v>11-2024</v>
      </c>
      <c r="AC144" s="1" t="str">
        <f>YEAR(urbanthreads_q4[[#This Row],[Order Date]]) &amp; "-W" &amp; WEEKNUM(urbanthreads_q4[[#This Row],[Order Date]], 2)</f>
        <v>2024-W44</v>
      </c>
      <c r="AD144" s="1" t="str">
        <f>IF(urbanthreads_q4[[#This Row],[Payment]]="COD","COD","Prepaid")</f>
        <v>COD</v>
      </c>
    </row>
    <row r="145" spans="1:30" x14ac:dyDescent="0.3">
      <c r="A145" s="1" t="s">
        <v>943</v>
      </c>
      <c r="B145" s="2">
        <v>45623</v>
      </c>
      <c r="C145" s="1" t="s">
        <v>944</v>
      </c>
      <c r="D145" s="1" t="s">
        <v>25</v>
      </c>
      <c r="E145" s="1" t="s">
        <v>945</v>
      </c>
      <c r="F145" s="1" t="s">
        <v>62</v>
      </c>
      <c r="G145" s="1" t="s">
        <v>946</v>
      </c>
      <c r="H145">
        <v>4999</v>
      </c>
      <c r="I145">
        <v>1</v>
      </c>
      <c r="J145">
        <v>4999</v>
      </c>
      <c r="K145" s="1" t="s">
        <v>29</v>
      </c>
      <c r="L145">
        <v>0</v>
      </c>
      <c r="M145" s="1" t="s">
        <v>44</v>
      </c>
      <c r="N145" s="1" t="s">
        <v>31</v>
      </c>
      <c r="O145" s="1" t="s">
        <v>144</v>
      </c>
      <c r="P145" s="1" t="s">
        <v>145</v>
      </c>
      <c r="Q145" s="1" t="s">
        <v>46</v>
      </c>
      <c r="R145" s="2">
        <v>45640</v>
      </c>
      <c r="S145" s="1" t="s">
        <v>34</v>
      </c>
      <c r="T145" s="1" t="s">
        <v>47</v>
      </c>
      <c r="U145" s="1" t="s">
        <v>48</v>
      </c>
      <c r="V145" s="2">
        <v>45669</v>
      </c>
      <c r="W145" s="1" t="s">
        <v>49</v>
      </c>
      <c r="X145" s="1" t="str">
        <f>IF(urbanthreads_q4[[#This Row],[Qty]]&gt;0,"Valid","Invalid")</f>
        <v>Valid</v>
      </c>
      <c r="Y145" s="1">
        <f>urbanthreads_q4[[#This Row],[Total]]*urbanthreads_q4[[#This Row],[Disc %]]/100</f>
        <v>0</v>
      </c>
      <c r="Z145" s="1">
        <f>urbanthreads_q4[[#This Row],[Total]]-urbanthreads_q4[[#This Row],[Disc %]]</f>
        <v>4999</v>
      </c>
      <c r="AA145" s="1">
        <f>urbanthreads_q4[[#This Row],[Net revenue]]/urbanthreads_q4[[#This Row],[Total]]</f>
        <v>1</v>
      </c>
      <c r="AB145" s="1" t="str">
        <f>TEXT(urbanthreads_q4[[#This Row],[Order Date]],"mm-yyyy")</f>
        <v>11-2024</v>
      </c>
      <c r="AC145" s="1" t="str">
        <f>YEAR(urbanthreads_q4[[#This Row],[Order Date]]) &amp; "-W" &amp; WEEKNUM(urbanthreads_q4[[#This Row],[Order Date]], 2)</f>
        <v>2024-W48</v>
      </c>
      <c r="AD145" s="1" t="str">
        <f>IF(urbanthreads_q4[[#This Row],[Payment]]="COD","COD","Prepaid")</f>
        <v>Prepaid</v>
      </c>
    </row>
    <row r="146" spans="1:30" x14ac:dyDescent="0.3">
      <c r="A146" s="1" t="s">
        <v>667</v>
      </c>
      <c r="B146" s="2">
        <v>45600</v>
      </c>
      <c r="C146" s="1" t="s">
        <v>668</v>
      </c>
      <c r="D146" s="1" t="s">
        <v>25</v>
      </c>
      <c r="E146" s="1" t="s">
        <v>669</v>
      </c>
      <c r="F146" s="1" t="s">
        <v>72</v>
      </c>
      <c r="G146" s="1" t="s">
        <v>670</v>
      </c>
      <c r="H146">
        <v>799</v>
      </c>
      <c r="I146">
        <v>1</v>
      </c>
      <c r="J146">
        <v>799</v>
      </c>
      <c r="K146" s="1" t="s">
        <v>537</v>
      </c>
      <c r="L146">
        <v>40</v>
      </c>
      <c r="M146" s="1" t="s">
        <v>30</v>
      </c>
      <c r="N146" s="1" t="s">
        <v>31</v>
      </c>
      <c r="O146" s="1" t="s">
        <v>46</v>
      </c>
      <c r="P146" s="1" t="s">
        <v>46</v>
      </c>
      <c r="Q146" s="1" t="s">
        <v>46</v>
      </c>
      <c r="R146" s="2">
        <v>45612</v>
      </c>
      <c r="S146" s="1" t="s">
        <v>34</v>
      </c>
      <c r="T146" s="1" t="s">
        <v>35</v>
      </c>
      <c r="U146" s="1" t="s">
        <v>29</v>
      </c>
      <c r="W146" s="1" t="s">
        <v>36</v>
      </c>
      <c r="X146" s="1" t="str">
        <f>IF(urbanthreads_q4[[#This Row],[Qty]]&gt;0,"Valid","Invalid")</f>
        <v>Valid</v>
      </c>
      <c r="Y146" s="1">
        <f>urbanthreads_q4[[#This Row],[Total]]*urbanthreads_q4[[#This Row],[Disc %]]/100</f>
        <v>319.60000000000002</v>
      </c>
      <c r="Z146" s="1">
        <f>urbanthreads_q4[[#This Row],[Total]]-urbanthreads_q4[[#This Row],[Disc %]]</f>
        <v>759</v>
      </c>
      <c r="AA146" s="1">
        <f>urbanthreads_q4[[#This Row],[Net revenue]]/urbanthreads_q4[[#This Row],[Total]]</f>
        <v>0.94993742177722151</v>
      </c>
      <c r="AB146" s="1" t="str">
        <f>TEXT(urbanthreads_q4[[#This Row],[Order Date]],"mm-yyyy")</f>
        <v>11-2024</v>
      </c>
      <c r="AC146" s="1" t="str">
        <f>YEAR(urbanthreads_q4[[#This Row],[Order Date]]) &amp; "-W" &amp; WEEKNUM(urbanthreads_q4[[#This Row],[Order Date]], 2)</f>
        <v>2024-W45</v>
      </c>
      <c r="AD146" s="1" t="str">
        <f>IF(urbanthreads_q4[[#This Row],[Payment]]="COD","COD","Prepaid")</f>
        <v>Prepaid</v>
      </c>
    </row>
    <row r="147" spans="1:30" x14ac:dyDescent="0.3">
      <c r="A147" s="1" t="s">
        <v>951</v>
      </c>
      <c r="B147" s="2">
        <v>45623</v>
      </c>
      <c r="C147" s="1" t="s">
        <v>952</v>
      </c>
      <c r="D147" s="1" t="s">
        <v>25</v>
      </c>
      <c r="E147" s="1" t="s">
        <v>953</v>
      </c>
      <c r="F147" s="1" t="s">
        <v>27</v>
      </c>
      <c r="G147" s="1" t="s">
        <v>954</v>
      </c>
      <c r="H147">
        <v>1599</v>
      </c>
      <c r="I147">
        <v>1</v>
      </c>
      <c r="J147">
        <v>1599</v>
      </c>
      <c r="K147" s="1" t="s">
        <v>29</v>
      </c>
      <c r="L147">
        <v>0</v>
      </c>
      <c r="M147" s="1" t="s">
        <v>30</v>
      </c>
      <c r="N147" s="1" t="s">
        <v>66</v>
      </c>
      <c r="O147" s="1" t="s">
        <v>156</v>
      </c>
      <c r="P147" s="1" t="s">
        <v>98</v>
      </c>
      <c r="Q147" s="1" t="s">
        <v>32</v>
      </c>
      <c r="R147" s="2">
        <v>45639</v>
      </c>
      <c r="S147" s="1" t="s">
        <v>34</v>
      </c>
      <c r="T147" s="1" t="s">
        <v>47</v>
      </c>
      <c r="U147" s="1" t="s">
        <v>105</v>
      </c>
      <c r="V147" s="2">
        <v>45667</v>
      </c>
      <c r="W147" s="1" t="s">
        <v>49</v>
      </c>
      <c r="X147" s="1" t="str">
        <f>IF(urbanthreads_q4[[#This Row],[Qty]]&gt;0,"Valid","Invalid")</f>
        <v>Valid</v>
      </c>
      <c r="Y147" s="1">
        <f>urbanthreads_q4[[#This Row],[Total]]*urbanthreads_q4[[#This Row],[Disc %]]/100</f>
        <v>0</v>
      </c>
      <c r="Z147" s="1">
        <f>urbanthreads_q4[[#This Row],[Total]]-urbanthreads_q4[[#This Row],[Disc %]]</f>
        <v>1599</v>
      </c>
      <c r="AA147" s="1">
        <f>urbanthreads_q4[[#This Row],[Net revenue]]/urbanthreads_q4[[#This Row],[Total]]</f>
        <v>1</v>
      </c>
      <c r="AB147" s="1" t="str">
        <f>TEXT(urbanthreads_q4[[#This Row],[Order Date]],"mm-yyyy")</f>
        <v>11-2024</v>
      </c>
      <c r="AC147" s="1" t="str">
        <f>YEAR(urbanthreads_q4[[#This Row],[Order Date]]) &amp; "-W" &amp; WEEKNUM(urbanthreads_q4[[#This Row],[Order Date]], 2)</f>
        <v>2024-W48</v>
      </c>
      <c r="AD147" s="1" t="str">
        <f>IF(urbanthreads_q4[[#This Row],[Payment]]="COD","COD","Prepaid")</f>
        <v>Prepaid</v>
      </c>
    </row>
    <row r="148" spans="1:30" x14ac:dyDescent="0.3">
      <c r="A148" s="1" t="s">
        <v>959</v>
      </c>
      <c r="B148" s="2">
        <v>45624</v>
      </c>
      <c r="C148" s="1" t="s">
        <v>960</v>
      </c>
      <c r="D148" s="1" t="s">
        <v>39</v>
      </c>
      <c r="E148" s="1" t="s">
        <v>961</v>
      </c>
      <c r="F148" s="1" t="s">
        <v>54</v>
      </c>
      <c r="G148" s="1" t="s">
        <v>962</v>
      </c>
      <c r="H148">
        <v>2399</v>
      </c>
      <c r="I148">
        <v>1</v>
      </c>
      <c r="J148">
        <v>2399</v>
      </c>
      <c r="K148" s="1" t="s">
        <v>29</v>
      </c>
      <c r="L148">
        <v>0</v>
      </c>
      <c r="M148" s="1" t="s">
        <v>65</v>
      </c>
      <c r="N148" s="1" t="s">
        <v>45</v>
      </c>
      <c r="O148" s="1" t="s">
        <v>167</v>
      </c>
      <c r="P148" s="1" t="s">
        <v>151</v>
      </c>
      <c r="Q148" s="1" t="s">
        <v>32</v>
      </c>
      <c r="R148" s="2">
        <v>45639</v>
      </c>
      <c r="S148" s="1" t="s">
        <v>34</v>
      </c>
      <c r="T148" s="1" t="s">
        <v>47</v>
      </c>
      <c r="U148" s="1" t="s">
        <v>80</v>
      </c>
      <c r="V148" s="2">
        <v>45668</v>
      </c>
      <c r="W148" s="1" t="s">
        <v>49</v>
      </c>
      <c r="X148" s="1" t="str">
        <f>IF(urbanthreads_q4[[#This Row],[Qty]]&gt;0,"Valid","Invalid")</f>
        <v>Valid</v>
      </c>
      <c r="Y148" s="1">
        <f>urbanthreads_q4[[#This Row],[Total]]*urbanthreads_q4[[#This Row],[Disc %]]/100</f>
        <v>0</v>
      </c>
      <c r="Z148" s="1">
        <f>urbanthreads_q4[[#This Row],[Total]]-urbanthreads_q4[[#This Row],[Disc %]]</f>
        <v>2399</v>
      </c>
      <c r="AA148" s="1">
        <f>urbanthreads_q4[[#This Row],[Net revenue]]/urbanthreads_q4[[#This Row],[Total]]</f>
        <v>1</v>
      </c>
      <c r="AB148" s="1" t="str">
        <f>TEXT(urbanthreads_q4[[#This Row],[Order Date]],"mm-yyyy")</f>
        <v>11-2024</v>
      </c>
      <c r="AC148" s="1" t="str">
        <f>YEAR(urbanthreads_q4[[#This Row],[Order Date]]) &amp; "-W" &amp; WEEKNUM(urbanthreads_q4[[#This Row],[Order Date]], 2)</f>
        <v>2024-W48</v>
      </c>
      <c r="AD148" s="1" t="str">
        <f>IF(urbanthreads_q4[[#This Row],[Payment]]="COD","COD","Prepaid")</f>
        <v>Prepaid</v>
      </c>
    </row>
    <row r="149" spans="1:30" x14ac:dyDescent="0.3">
      <c r="A149" s="1" t="s">
        <v>679</v>
      </c>
      <c r="B149" s="2">
        <v>45601</v>
      </c>
      <c r="C149" s="1" t="s">
        <v>680</v>
      </c>
      <c r="D149" s="1" t="s">
        <v>39</v>
      </c>
      <c r="E149" s="1" t="s">
        <v>681</v>
      </c>
      <c r="F149" s="1" t="s">
        <v>54</v>
      </c>
      <c r="G149" s="1" t="s">
        <v>682</v>
      </c>
      <c r="H149">
        <v>1499</v>
      </c>
      <c r="I149">
        <v>1</v>
      </c>
      <c r="J149">
        <v>1499</v>
      </c>
      <c r="K149" s="1" t="s">
        <v>537</v>
      </c>
      <c r="L149">
        <v>40</v>
      </c>
      <c r="M149" s="1" t="s">
        <v>44</v>
      </c>
      <c r="N149" s="1" t="s">
        <v>31</v>
      </c>
      <c r="O149" s="1" t="s">
        <v>78</v>
      </c>
      <c r="P149" s="1" t="s">
        <v>79</v>
      </c>
      <c r="Q149" s="1" t="s">
        <v>57</v>
      </c>
      <c r="R149" s="2">
        <v>45613</v>
      </c>
      <c r="S149" s="1" t="s">
        <v>34</v>
      </c>
      <c r="T149" s="1" t="s">
        <v>35</v>
      </c>
      <c r="U149" s="1" t="s">
        <v>29</v>
      </c>
      <c r="W149" s="1" t="s">
        <v>36</v>
      </c>
      <c r="X149" s="1" t="str">
        <f>IF(urbanthreads_q4[[#This Row],[Qty]]&gt;0,"Valid","Invalid")</f>
        <v>Valid</v>
      </c>
      <c r="Y149" s="1">
        <f>urbanthreads_q4[[#This Row],[Total]]*urbanthreads_q4[[#This Row],[Disc %]]/100</f>
        <v>599.6</v>
      </c>
      <c r="Z149" s="1">
        <f>urbanthreads_q4[[#This Row],[Total]]-urbanthreads_q4[[#This Row],[Disc %]]</f>
        <v>1459</v>
      </c>
      <c r="AA149" s="1">
        <f>urbanthreads_q4[[#This Row],[Net revenue]]/urbanthreads_q4[[#This Row],[Total]]</f>
        <v>0.9733155436957972</v>
      </c>
      <c r="AB149" s="1" t="str">
        <f>TEXT(urbanthreads_q4[[#This Row],[Order Date]],"mm-yyyy")</f>
        <v>11-2024</v>
      </c>
      <c r="AC149" s="1" t="str">
        <f>YEAR(urbanthreads_q4[[#This Row],[Order Date]]) &amp; "-W" &amp; WEEKNUM(urbanthreads_q4[[#This Row],[Order Date]], 2)</f>
        <v>2024-W45</v>
      </c>
      <c r="AD149" s="1" t="str">
        <f>IF(urbanthreads_q4[[#This Row],[Payment]]="COD","COD","Prepaid")</f>
        <v>Prepaid</v>
      </c>
    </row>
    <row r="150" spans="1:30" x14ac:dyDescent="0.3">
      <c r="A150" s="1" t="s">
        <v>963</v>
      </c>
      <c r="B150" s="2">
        <v>45624</v>
      </c>
      <c r="C150" s="1" t="s">
        <v>964</v>
      </c>
      <c r="D150" s="1" t="s">
        <v>25</v>
      </c>
      <c r="E150" s="1" t="s">
        <v>965</v>
      </c>
      <c r="F150" s="1" t="s">
        <v>62</v>
      </c>
      <c r="G150" s="1" t="s">
        <v>966</v>
      </c>
      <c r="H150">
        <v>6499</v>
      </c>
      <c r="I150">
        <v>1</v>
      </c>
      <c r="J150">
        <v>6499</v>
      </c>
      <c r="K150" s="1" t="s">
        <v>29</v>
      </c>
      <c r="L150">
        <v>0</v>
      </c>
      <c r="M150" s="1" t="s">
        <v>44</v>
      </c>
      <c r="N150" s="1" t="s">
        <v>66</v>
      </c>
      <c r="O150" s="1" t="s">
        <v>172</v>
      </c>
      <c r="P150" s="1" t="s">
        <v>33</v>
      </c>
      <c r="Q150" s="1" t="s">
        <v>32</v>
      </c>
      <c r="R150" s="2">
        <v>45642</v>
      </c>
      <c r="S150" s="1" t="s">
        <v>34</v>
      </c>
      <c r="T150" s="1" t="s">
        <v>47</v>
      </c>
      <c r="U150" s="1" t="s">
        <v>48</v>
      </c>
      <c r="V150" s="2">
        <v>45671</v>
      </c>
      <c r="W150" s="1" t="s">
        <v>49</v>
      </c>
      <c r="X150" s="1" t="str">
        <f>IF(urbanthreads_q4[[#This Row],[Qty]]&gt;0,"Valid","Invalid")</f>
        <v>Valid</v>
      </c>
      <c r="Y150" s="1">
        <f>urbanthreads_q4[[#This Row],[Total]]*urbanthreads_q4[[#This Row],[Disc %]]/100</f>
        <v>0</v>
      </c>
      <c r="Z150" s="1">
        <f>urbanthreads_q4[[#This Row],[Total]]-urbanthreads_q4[[#This Row],[Disc %]]</f>
        <v>6499</v>
      </c>
      <c r="AA150" s="1">
        <f>urbanthreads_q4[[#This Row],[Net revenue]]/urbanthreads_q4[[#This Row],[Total]]</f>
        <v>1</v>
      </c>
      <c r="AB150" s="1" t="str">
        <f>TEXT(urbanthreads_q4[[#This Row],[Order Date]],"mm-yyyy")</f>
        <v>11-2024</v>
      </c>
      <c r="AC150" s="1" t="str">
        <f>YEAR(urbanthreads_q4[[#This Row],[Order Date]]) &amp; "-W" &amp; WEEKNUM(urbanthreads_q4[[#This Row],[Order Date]], 2)</f>
        <v>2024-W48</v>
      </c>
      <c r="AD150" s="1" t="str">
        <f>IF(urbanthreads_q4[[#This Row],[Payment]]="COD","COD","Prepaid")</f>
        <v>Prepaid</v>
      </c>
    </row>
    <row r="151" spans="1:30" x14ac:dyDescent="0.3">
      <c r="A151" s="1" t="s">
        <v>975</v>
      </c>
      <c r="B151" s="2">
        <v>45625</v>
      </c>
      <c r="C151" s="1" t="s">
        <v>976</v>
      </c>
      <c r="D151" s="1" t="s">
        <v>25</v>
      </c>
      <c r="E151" s="1" t="s">
        <v>977</v>
      </c>
      <c r="F151" s="1" t="s">
        <v>41</v>
      </c>
      <c r="G151" s="1" t="s">
        <v>978</v>
      </c>
      <c r="H151">
        <v>5499</v>
      </c>
      <c r="I151">
        <v>1</v>
      </c>
      <c r="J151">
        <v>5499</v>
      </c>
      <c r="K151" s="1" t="s">
        <v>703</v>
      </c>
      <c r="L151">
        <v>15</v>
      </c>
      <c r="M151" s="1" t="s">
        <v>44</v>
      </c>
      <c r="N151" s="1" t="s">
        <v>66</v>
      </c>
      <c r="O151" s="1" t="s">
        <v>188</v>
      </c>
      <c r="P151" s="1" t="s">
        <v>189</v>
      </c>
      <c r="Q151" s="1" t="s">
        <v>57</v>
      </c>
      <c r="R151" s="2">
        <v>45643</v>
      </c>
      <c r="S151" s="1" t="s">
        <v>34</v>
      </c>
      <c r="T151" s="1" t="s">
        <v>47</v>
      </c>
      <c r="U151" s="1" t="s">
        <v>69</v>
      </c>
      <c r="V151" s="2">
        <v>45672</v>
      </c>
      <c r="W151" s="1" t="s">
        <v>49</v>
      </c>
      <c r="X151" s="1" t="str">
        <f>IF(urbanthreads_q4[[#This Row],[Qty]]&gt;0,"Valid","Invalid")</f>
        <v>Valid</v>
      </c>
      <c r="Y151" s="1">
        <f>urbanthreads_q4[[#This Row],[Total]]*urbanthreads_q4[[#This Row],[Disc %]]/100</f>
        <v>824.85</v>
      </c>
      <c r="Z151" s="1">
        <f>urbanthreads_q4[[#This Row],[Total]]-urbanthreads_q4[[#This Row],[Disc %]]</f>
        <v>5484</v>
      </c>
      <c r="AA151" s="1">
        <f>urbanthreads_q4[[#This Row],[Net revenue]]/urbanthreads_q4[[#This Row],[Total]]</f>
        <v>0.99727223131478449</v>
      </c>
      <c r="AB151" s="1" t="str">
        <f>TEXT(urbanthreads_q4[[#This Row],[Order Date]],"mm-yyyy")</f>
        <v>11-2024</v>
      </c>
      <c r="AC151" s="1" t="str">
        <f>YEAR(urbanthreads_q4[[#This Row],[Order Date]]) &amp; "-W" &amp; WEEKNUM(urbanthreads_q4[[#This Row],[Order Date]], 2)</f>
        <v>2024-W48</v>
      </c>
      <c r="AD151" s="1" t="str">
        <f>IF(urbanthreads_q4[[#This Row],[Payment]]="COD","COD","Prepaid")</f>
        <v>Prepaid</v>
      </c>
    </row>
    <row r="152" spans="1:30" x14ac:dyDescent="0.3">
      <c r="A152" s="1" t="s">
        <v>691</v>
      </c>
      <c r="B152" s="2">
        <v>45602</v>
      </c>
      <c r="C152" s="1" t="s">
        <v>692</v>
      </c>
      <c r="D152" s="1" t="s">
        <v>25</v>
      </c>
      <c r="E152" s="1" t="s">
        <v>693</v>
      </c>
      <c r="F152" s="1" t="s">
        <v>27</v>
      </c>
      <c r="G152" s="1" t="s">
        <v>694</v>
      </c>
      <c r="H152">
        <v>2999</v>
      </c>
      <c r="I152">
        <v>1</v>
      </c>
      <c r="J152">
        <v>2999</v>
      </c>
      <c r="K152" s="1" t="s">
        <v>29</v>
      </c>
      <c r="L152">
        <v>0</v>
      </c>
      <c r="M152" s="1" t="s">
        <v>44</v>
      </c>
      <c r="N152" s="1" t="s">
        <v>31</v>
      </c>
      <c r="O152" s="1" t="s">
        <v>103</v>
      </c>
      <c r="P152" s="1" t="s">
        <v>104</v>
      </c>
      <c r="Q152" s="1" t="s">
        <v>46</v>
      </c>
      <c r="R152" s="2">
        <v>45615</v>
      </c>
      <c r="S152" s="1" t="s">
        <v>34</v>
      </c>
      <c r="T152" s="1" t="s">
        <v>35</v>
      </c>
      <c r="U152" s="1" t="s">
        <v>29</v>
      </c>
      <c r="W152" s="1" t="s">
        <v>36</v>
      </c>
      <c r="X152" s="1" t="str">
        <f>IF(urbanthreads_q4[[#This Row],[Qty]]&gt;0,"Valid","Invalid")</f>
        <v>Valid</v>
      </c>
      <c r="Y152" s="1">
        <f>urbanthreads_q4[[#This Row],[Total]]*urbanthreads_q4[[#This Row],[Disc %]]/100</f>
        <v>0</v>
      </c>
      <c r="Z152" s="1">
        <f>urbanthreads_q4[[#This Row],[Total]]-urbanthreads_q4[[#This Row],[Disc %]]</f>
        <v>2999</v>
      </c>
      <c r="AA152" s="1">
        <f>urbanthreads_q4[[#This Row],[Net revenue]]/urbanthreads_q4[[#This Row],[Total]]</f>
        <v>1</v>
      </c>
      <c r="AB152" s="1" t="str">
        <f>TEXT(urbanthreads_q4[[#This Row],[Order Date]],"mm-yyyy")</f>
        <v>11-2024</v>
      </c>
      <c r="AC152" s="1" t="str">
        <f>YEAR(urbanthreads_q4[[#This Row],[Order Date]]) &amp; "-W" &amp; WEEKNUM(urbanthreads_q4[[#This Row],[Order Date]], 2)</f>
        <v>2024-W45</v>
      </c>
      <c r="AD152" s="1" t="str">
        <f>IF(urbanthreads_q4[[#This Row],[Payment]]="COD","COD","Prepaid")</f>
        <v>Prepaid</v>
      </c>
    </row>
    <row r="153" spans="1:30" x14ac:dyDescent="0.3">
      <c r="A153" s="1" t="s">
        <v>983</v>
      </c>
      <c r="B153" s="2">
        <v>45626</v>
      </c>
      <c r="C153" s="1" t="s">
        <v>984</v>
      </c>
      <c r="D153" s="1" t="s">
        <v>25</v>
      </c>
      <c r="E153" s="1" t="s">
        <v>985</v>
      </c>
      <c r="F153" s="1" t="s">
        <v>62</v>
      </c>
      <c r="G153" s="1" t="s">
        <v>986</v>
      </c>
      <c r="H153">
        <v>5299</v>
      </c>
      <c r="I153">
        <v>1</v>
      </c>
      <c r="J153">
        <v>5299</v>
      </c>
      <c r="K153" s="1" t="s">
        <v>29</v>
      </c>
      <c r="L153">
        <v>0</v>
      </c>
      <c r="M153" s="1" t="s">
        <v>65</v>
      </c>
      <c r="N153" s="1" t="s">
        <v>45</v>
      </c>
      <c r="O153" s="1" t="s">
        <v>199</v>
      </c>
      <c r="P153" s="1" t="s">
        <v>58</v>
      </c>
      <c r="Q153" s="1" t="s">
        <v>57</v>
      </c>
      <c r="R153" s="2">
        <v>45644</v>
      </c>
      <c r="S153" s="1" t="s">
        <v>34</v>
      </c>
      <c r="T153" s="1" t="s">
        <v>47</v>
      </c>
      <c r="U153" s="1" t="s">
        <v>139</v>
      </c>
      <c r="V153" s="2">
        <v>45673</v>
      </c>
      <c r="W153" s="1" t="s">
        <v>49</v>
      </c>
      <c r="X153" s="1" t="str">
        <f>IF(urbanthreads_q4[[#This Row],[Qty]]&gt;0,"Valid","Invalid")</f>
        <v>Valid</v>
      </c>
      <c r="Y153" s="1">
        <f>urbanthreads_q4[[#This Row],[Total]]*urbanthreads_q4[[#This Row],[Disc %]]/100</f>
        <v>0</v>
      </c>
      <c r="Z153" s="1">
        <f>urbanthreads_q4[[#This Row],[Total]]-urbanthreads_q4[[#This Row],[Disc %]]</f>
        <v>5299</v>
      </c>
      <c r="AA153" s="1">
        <f>urbanthreads_q4[[#This Row],[Net revenue]]/urbanthreads_q4[[#This Row],[Total]]</f>
        <v>1</v>
      </c>
      <c r="AB153" s="1" t="str">
        <f>TEXT(urbanthreads_q4[[#This Row],[Order Date]],"mm-yyyy")</f>
        <v>11-2024</v>
      </c>
      <c r="AC153" s="1" t="str">
        <f>YEAR(urbanthreads_q4[[#This Row],[Order Date]]) &amp; "-W" &amp; WEEKNUM(urbanthreads_q4[[#This Row],[Order Date]], 2)</f>
        <v>2024-W48</v>
      </c>
      <c r="AD153" s="1" t="str">
        <f>IF(urbanthreads_q4[[#This Row],[Payment]]="COD","COD","Prepaid")</f>
        <v>Prepaid</v>
      </c>
    </row>
    <row r="154" spans="1:30" x14ac:dyDescent="0.3">
      <c r="A154" s="1" t="s">
        <v>699</v>
      </c>
      <c r="B154" s="2">
        <v>45602</v>
      </c>
      <c r="C154" s="1" t="s">
        <v>700</v>
      </c>
      <c r="D154" s="1" t="s">
        <v>39</v>
      </c>
      <c r="E154" s="1" t="s">
        <v>701</v>
      </c>
      <c r="F154" s="1" t="s">
        <v>54</v>
      </c>
      <c r="G154" s="1" t="s">
        <v>702</v>
      </c>
      <c r="H154">
        <v>1699</v>
      </c>
      <c r="I154">
        <v>1</v>
      </c>
      <c r="J154">
        <v>1699</v>
      </c>
      <c r="K154" s="1" t="s">
        <v>703</v>
      </c>
      <c r="L154">
        <v>15</v>
      </c>
      <c r="M154" s="1" t="s">
        <v>65</v>
      </c>
      <c r="N154" s="1" t="s">
        <v>66</v>
      </c>
      <c r="O154" s="1" t="s">
        <v>57</v>
      </c>
      <c r="P154" s="1" t="s">
        <v>58</v>
      </c>
      <c r="Q154" s="1" t="s">
        <v>57</v>
      </c>
      <c r="R154" s="2">
        <v>45614</v>
      </c>
      <c r="S154" s="1" t="s">
        <v>34</v>
      </c>
      <c r="T154" s="1" t="s">
        <v>35</v>
      </c>
      <c r="U154" s="1" t="s">
        <v>29</v>
      </c>
      <c r="W154" s="1" t="s">
        <v>36</v>
      </c>
      <c r="X154" s="1" t="str">
        <f>IF(urbanthreads_q4[[#This Row],[Qty]]&gt;0,"Valid","Invalid")</f>
        <v>Valid</v>
      </c>
      <c r="Y154" s="1">
        <f>urbanthreads_q4[[#This Row],[Total]]*urbanthreads_q4[[#This Row],[Disc %]]/100</f>
        <v>254.85</v>
      </c>
      <c r="Z154" s="1">
        <f>urbanthreads_q4[[#This Row],[Total]]-urbanthreads_q4[[#This Row],[Disc %]]</f>
        <v>1684</v>
      </c>
      <c r="AA154" s="1">
        <f>urbanthreads_q4[[#This Row],[Net revenue]]/urbanthreads_q4[[#This Row],[Total]]</f>
        <v>0.99117127722189524</v>
      </c>
      <c r="AB154" s="1" t="str">
        <f>TEXT(urbanthreads_q4[[#This Row],[Order Date]],"mm-yyyy")</f>
        <v>11-2024</v>
      </c>
      <c r="AC154" s="1" t="str">
        <f>YEAR(urbanthreads_q4[[#This Row],[Order Date]]) &amp; "-W" &amp; WEEKNUM(urbanthreads_q4[[#This Row],[Order Date]], 2)</f>
        <v>2024-W45</v>
      </c>
      <c r="AD154" s="1" t="str">
        <f>IF(urbanthreads_q4[[#This Row],[Payment]]="COD","COD","Prepaid")</f>
        <v>Prepaid</v>
      </c>
    </row>
    <row r="155" spans="1:30" x14ac:dyDescent="0.3">
      <c r="A155" s="1" t="s">
        <v>987</v>
      </c>
      <c r="B155" s="2">
        <v>45626</v>
      </c>
      <c r="C155" s="1" t="s">
        <v>988</v>
      </c>
      <c r="D155" s="1" t="s">
        <v>25</v>
      </c>
      <c r="E155" s="1" t="s">
        <v>989</v>
      </c>
      <c r="F155" s="1" t="s">
        <v>72</v>
      </c>
      <c r="G155" s="1" t="s">
        <v>990</v>
      </c>
      <c r="H155">
        <v>1099</v>
      </c>
      <c r="I155">
        <v>1</v>
      </c>
      <c r="J155">
        <v>1099</v>
      </c>
      <c r="K155" s="1" t="s">
        <v>29</v>
      </c>
      <c r="L155">
        <v>0</v>
      </c>
      <c r="M155" s="1" t="s">
        <v>30</v>
      </c>
      <c r="N155" s="1" t="s">
        <v>66</v>
      </c>
      <c r="O155" s="1" t="s">
        <v>204</v>
      </c>
      <c r="P155" s="1" t="s">
        <v>98</v>
      </c>
      <c r="Q155" s="1" t="s">
        <v>32</v>
      </c>
      <c r="R155" s="2">
        <v>45642</v>
      </c>
      <c r="S155" s="1" t="s">
        <v>34</v>
      </c>
      <c r="T155" s="1" t="s">
        <v>47</v>
      </c>
      <c r="U155" s="1" t="s">
        <v>48</v>
      </c>
      <c r="V155" s="2">
        <v>45671</v>
      </c>
      <c r="W155" s="1" t="s">
        <v>49</v>
      </c>
      <c r="X155" s="1" t="str">
        <f>IF(urbanthreads_q4[[#This Row],[Qty]]&gt;0,"Valid","Invalid")</f>
        <v>Valid</v>
      </c>
      <c r="Y155" s="1">
        <f>urbanthreads_q4[[#This Row],[Total]]*urbanthreads_q4[[#This Row],[Disc %]]/100</f>
        <v>0</v>
      </c>
      <c r="Z155" s="1">
        <f>urbanthreads_q4[[#This Row],[Total]]-urbanthreads_q4[[#This Row],[Disc %]]</f>
        <v>1099</v>
      </c>
      <c r="AA155" s="1">
        <f>urbanthreads_q4[[#This Row],[Net revenue]]/urbanthreads_q4[[#This Row],[Total]]</f>
        <v>1</v>
      </c>
      <c r="AB155" s="1" t="str">
        <f>TEXT(urbanthreads_q4[[#This Row],[Order Date]],"mm-yyyy")</f>
        <v>11-2024</v>
      </c>
      <c r="AC155" s="1" t="str">
        <f>YEAR(urbanthreads_q4[[#This Row],[Order Date]]) &amp; "-W" &amp; WEEKNUM(urbanthreads_q4[[#This Row],[Order Date]], 2)</f>
        <v>2024-W48</v>
      </c>
      <c r="AD155" s="1" t="str">
        <f>IF(urbanthreads_q4[[#This Row],[Payment]]="COD","COD","Prepaid")</f>
        <v>Prepaid</v>
      </c>
    </row>
    <row r="156" spans="1:30" x14ac:dyDescent="0.3">
      <c r="A156" s="1" t="s">
        <v>708</v>
      </c>
      <c r="B156" s="2">
        <v>45603</v>
      </c>
      <c r="C156" s="1" t="s">
        <v>709</v>
      </c>
      <c r="D156" s="1" t="s">
        <v>25</v>
      </c>
      <c r="E156" s="1" t="s">
        <v>710</v>
      </c>
      <c r="F156" s="1" t="s">
        <v>72</v>
      </c>
      <c r="G156" s="1" t="s">
        <v>711</v>
      </c>
      <c r="H156">
        <v>899</v>
      </c>
      <c r="I156">
        <v>1</v>
      </c>
      <c r="J156">
        <v>899</v>
      </c>
      <c r="K156" s="1" t="s">
        <v>29</v>
      </c>
      <c r="L156">
        <v>0</v>
      </c>
      <c r="M156" s="1" t="s">
        <v>56</v>
      </c>
      <c r="N156" s="1" t="s">
        <v>45</v>
      </c>
      <c r="O156" s="1" t="s">
        <v>46</v>
      </c>
      <c r="P156" s="1" t="s">
        <v>46</v>
      </c>
      <c r="Q156" s="1" t="s">
        <v>46</v>
      </c>
      <c r="R156" s="2">
        <v>45615</v>
      </c>
      <c r="S156" s="1" t="s">
        <v>34</v>
      </c>
      <c r="T156" s="1" t="s">
        <v>35</v>
      </c>
      <c r="U156" s="1" t="s">
        <v>29</v>
      </c>
      <c r="W156" s="1" t="s">
        <v>36</v>
      </c>
      <c r="X156" s="1" t="str">
        <f>IF(urbanthreads_q4[[#This Row],[Qty]]&gt;0,"Valid","Invalid")</f>
        <v>Valid</v>
      </c>
      <c r="Y156" s="1">
        <f>urbanthreads_q4[[#This Row],[Total]]*urbanthreads_q4[[#This Row],[Disc %]]/100</f>
        <v>0</v>
      </c>
      <c r="Z156" s="1">
        <f>urbanthreads_q4[[#This Row],[Total]]-urbanthreads_q4[[#This Row],[Disc %]]</f>
        <v>899</v>
      </c>
      <c r="AA156" s="1">
        <f>urbanthreads_q4[[#This Row],[Net revenue]]/urbanthreads_q4[[#This Row],[Total]]</f>
        <v>1</v>
      </c>
      <c r="AB156" s="1" t="str">
        <f>TEXT(urbanthreads_q4[[#This Row],[Order Date]],"mm-yyyy")</f>
        <v>11-2024</v>
      </c>
      <c r="AC156" s="1" t="str">
        <f>YEAR(urbanthreads_q4[[#This Row],[Order Date]]) &amp; "-W" &amp; WEEKNUM(urbanthreads_q4[[#This Row],[Order Date]], 2)</f>
        <v>2024-W45</v>
      </c>
      <c r="AD156" s="1" t="str">
        <f>IF(urbanthreads_q4[[#This Row],[Payment]]="COD","COD","Prepaid")</f>
        <v>COD</v>
      </c>
    </row>
    <row r="157" spans="1:30" x14ac:dyDescent="0.3">
      <c r="A157" s="1" t="s">
        <v>996</v>
      </c>
      <c r="B157" s="2">
        <v>45627</v>
      </c>
      <c r="C157" s="1" t="s">
        <v>997</v>
      </c>
      <c r="D157" s="1" t="s">
        <v>25</v>
      </c>
      <c r="E157" s="1" t="s">
        <v>998</v>
      </c>
      <c r="F157" s="1" t="s">
        <v>62</v>
      </c>
      <c r="G157" s="1" t="s">
        <v>999</v>
      </c>
      <c r="H157">
        <v>6499</v>
      </c>
      <c r="I157">
        <v>1</v>
      </c>
      <c r="J157">
        <v>6499</v>
      </c>
      <c r="K157" s="1" t="s">
        <v>995</v>
      </c>
      <c r="L157">
        <v>20</v>
      </c>
      <c r="M157" s="1" t="s">
        <v>56</v>
      </c>
      <c r="N157" s="1" t="s">
        <v>45</v>
      </c>
      <c r="O157" s="1" t="s">
        <v>46</v>
      </c>
      <c r="P157" s="1" t="s">
        <v>46</v>
      </c>
      <c r="Q157" s="1" t="s">
        <v>46</v>
      </c>
      <c r="R157" s="2">
        <v>45634</v>
      </c>
      <c r="S157" s="1" t="s">
        <v>34</v>
      </c>
      <c r="T157" s="1" t="s">
        <v>47</v>
      </c>
      <c r="U157" s="1" t="s">
        <v>80</v>
      </c>
      <c r="V157" s="2">
        <v>45654</v>
      </c>
      <c r="W157" s="1" t="s">
        <v>106</v>
      </c>
      <c r="X157" s="1" t="str">
        <f>IF(urbanthreads_q4[[#This Row],[Qty]]&gt;0,"Valid","Invalid")</f>
        <v>Valid</v>
      </c>
      <c r="Y157" s="1">
        <f>urbanthreads_q4[[#This Row],[Total]]*urbanthreads_q4[[#This Row],[Disc %]]/100</f>
        <v>1299.8</v>
      </c>
      <c r="Z157" s="1">
        <f>urbanthreads_q4[[#This Row],[Total]]-urbanthreads_q4[[#This Row],[Disc %]]</f>
        <v>6479</v>
      </c>
      <c r="AA157" s="1">
        <f>urbanthreads_q4[[#This Row],[Net revenue]]/urbanthreads_q4[[#This Row],[Total]]</f>
        <v>0.99692260347745809</v>
      </c>
      <c r="AB157" s="1" t="str">
        <f>TEXT(urbanthreads_q4[[#This Row],[Order Date]],"mm-yyyy")</f>
        <v>12-2024</v>
      </c>
      <c r="AC157" s="1" t="str">
        <f>YEAR(urbanthreads_q4[[#This Row],[Order Date]]) &amp; "-W" &amp; WEEKNUM(urbanthreads_q4[[#This Row],[Order Date]], 2)</f>
        <v>2024-W48</v>
      </c>
      <c r="AD157" s="1" t="str">
        <f>IF(urbanthreads_q4[[#This Row],[Payment]]="COD","COD","Prepaid")</f>
        <v>COD</v>
      </c>
    </row>
    <row r="158" spans="1:30" x14ac:dyDescent="0.3">
      <c r="A158" s="1" t="s">
        <v>716</v>
      </c>
      <c r="B158" s="2">
        <v>45604</v>
      </c>
      <c r="C158" s="1" t="s">
        <v>717</v>
      </c>
      <c r="D158" s="1" t="s">
        <v>25</v>
      </c>
      <c r="E158" s="1" t="s">
        <v>718</v>
      </c>
      <c r="F158" s="1" t="s">
        <v>41</v>
      </c>
      <c r="G158" s="1" t="s">
        <v>719</v>
      </c>
      <c r="H158">
        <v>2599</v>
      </c>
      <c r="I158">
        <v>1</v>
      </c>
      <c r="J158">
        <v>2599</v>
      </c>
      <c r="K158" s="1" t="s">
        <v>29</v>
      </c>
      <c r="L158">
        <v>0</v>
      </c>
      <c r="M158" s="1" t="s">
        <v>112</v>
      </c>
      <c r="N158" s="1" t="s">
        <v>31</v>
      </c>
      <c r="O158" s="1" t="s">
        <v>138</v>
      </c>
      <c r="P158" s="1" t="s">
        <v>114</v>
      </c>
      <c r="Q158" s="1" t="s">
        <v>46</v>
      </c>
      <c r="R158" s="2">
        <v>45618</v>
      </c>
      <c r="S158" s="1" t="s">
        <v>34</v>
      </c>
      <c r="T158" s="1" t="s">
        <v>35</v>
      </c>
      <c r="U158" s="1" t="s">
        <v>29</v>
      </c>
      <c r="W158" s="1" t="s">
        <v>36</v>
      </c>
      <c r="X158" s="1" t="str">
        <f>IF(urbanthreads_q4[[#This Row],[Qty]]&gt;0,"Valid","Invalid")</f>
        <v>Valid</v>
      </c>
      <c r="Y158" s="1">
        <f>urbanthreads_q4[[#This Row],[Total]]*urbanthreads_q4[[#This Row],[Disc %]]/100</f>
        <v>0</v>
      </c>
      <c r="Z158" s="1">
        <f>urbanthreads_q4[[#This Row],[Total]]-urbanthreads_q4[[#This Row],[Disc %]]</f>
        <v>2599</v>
      </c>
      <c r="AA158" s="1">
        <f>urbanthreads_q4[[#This Row],[Net revenue]]/urbanthreads_q4[[#This Row],[Total]]</f>
        <v>1</v>
      </c>
      <c r="AB158" s="1" t="str">
        <f>TEXT(urbanthreads_q4[[#This Row],[Order Date]],"mm-yyyy")</f>
        <v>11-2024</v>
      </c>
      <c r="AC158" s="1" t="str">
        <f>YEAR(urbanthreads_q4[[#This Row],[Order Date]]) &amp; "-W" &amp; WEEKNUM(urbanthreads_q4[[#This Row],[Order Date]], 2)</f>
        <v>2024-W45</v>
      </c>
      <c r="AD158" s="1" t="str">
        <f>IF(urbanthreads_q4[[#This Row],[Payment]]="COD","COD","Prepaid")</f>
        <v>Prepaid</v>
      </c>
    </row>
    <row r="159" spans="1:30" x14ac:dyDescent="0.3">
      <c r="A159" s="1" t="s">
        <v>1004</v>
      </c>
      <c r="B159" s="2">
        <v>45627</v>
      </c>
      <c r="C159" s="1" t="s">
        <v>1005</v>
      </c>
      <c r="D159" s="1" t="s">
        <v>25</v>
      </c>
      <c r="E159" s="1" t="s">
        <v>1006</v>
      </c>
      <c r="F159" s="1" t="s">
        <v>41</v>
      </c>
      <c r="G159" s="1" t="s">
        <v>1007</v>
      </c>
      <c r="H159">
        <v>2899</v>
      </c>
      <c r="I159">
        <v>1</v>
      </c>
      <c r="J159">
        <v>2899</v>
      </c>
      <c r="K159" s="1" t="s">
        <v>995</v>
      </c>
      <c r="L159">
        <v>20</v>
      </c>
      <c r="M159" s="1" t="s">
        <v>65</v>
      </c>
      <c r="N159" s="1" t="s">
        <v>31</v>
      </c>
      <c r="O159" s="1" t="s">
        <v>563</v>
      </c>
      <c r="P159" s="1" t="s">
        <v>120</v>
      </c>
      <c r="Q159" s="1" t="s">
        <v>46</v>
      </c>
      <c r="R159" s="2">
        <v>45635</v>
      </c>
      <c r="S159" s="1" t="s">
        <v>34</v>
      </c>
      <c r="T159" s="1" t="s">
        <v>47</v>
      </c>
      <c r="U159" s="1" t="s">
        <v>48</v>
      </c>
      <c r="V159" s="2">
        <v>45656</v>
      </c>
      <c r="W159" s="1" t="s">
        <v>49</v>
      </c>
      <c r="X159" s="1" t="str">
        <f>IF(urbanthreads_q4[[#This Row],[Qty]]&gt;0,"Valid","Invalid")</f>
        <v>Valid</v>
      </c>
      <c r="Y159" s="1">
        <f>urbanthreads_q4[[#This Row],[Total]]*urbanthreads_q4[[#This Row],[Disc %]]/100</f>
        <v>579.79999999999995</v>
      </c>
      <c r="Z159" s="1">
        <f>urbanthreads_q4[[#This Row],[Total]]-urbanthreads_q4[[#This Row],[Disc %]]</f>
        <v>2879</v>
      </c>
      <c r="AA159" s="1">
        <f>urbanthreads_q4[[#This Row],[Net revenue]]/urbanthreads_q4[[#This Row],[Total]]</f>
        <v>0.99310106933425324</v>
      </c>
      <c r="AB159" s="1" t="str">
        <f>TEXT(urbanthreads_q4[[#This Row],[Order Date]],"mm-yyyy")</f>
        <v>12-2024</v>
      </c>
      <c r="AC159" s="1" t="str">
        <f>YEAR(urbanthreads_q4[[#This Row],[Order Date]]) &amp; "-W" &amp; WEEKNUM(urbanthreads_q4[[#This Row],[Order Date]], 2)</f>
        <v>2024-W48</v>
      </c>
      <c r="AD159" s="1" t="str">
        <f>IF(urbanthreads_q4[[#This Row],[Payment]]="COD","COD","Prepaid")</f>
        <v>Prepaid</v>
      </c>
    </row>
    <row r="160" spans="1:30" x14ac:dyDescent="0.3">
      <c r="A160" s="1" t="s">
        <v>724</v>
      </c>
      <c r="B160" s="2">
        <v>45604</v>
      </c>
      <c r="C160" s="1" t="s">
        <v>725</v>
      </c>
      <c r="D160" s="1" t="s">
        <v>25</v>
      </c>
      <c r="E160" s="1" t="s">
        <v>726</v>
      </c>
      <c r="F160" s="1" t="s">
        <v>62</v>
      </c>
      <c r="G160" s="1" t="s">
        <v>727</v>
      </c>
      <c r="H160">
        <v>5299</v>
      </c>
      <c r="I160">
        <v>1</v>
      </c>
      <c r="J160">
        <v>5299</v>
      </c>
      <c r="K160" s="1" t="s">
        <v>703</v>
      </c>
      <c r="L160">
        <v>15</v>
      </c>
      <c r="M160" s="1" t="s">
        <v>65</v>
      </c>
      <c r="N160" s="1" t="s">
        <v>66</v>
      </c>
      <c r="O160" s="1" t="s">
        <v>150</v>
      </c>
      <c r="P160" s="1" t="s">
        <v>151</v>
      </c>
      <c r="Q160" s="1" t="s">
        <v>32</v>
      </c>
      <c r="R160" s="2">
        <v>45619</v>
      </c>
      <c r="S160" s="1" t="s">
        <v>34</v>
      </c>
      <c r="T160" s="1" t="s">
        <v>35</v>
      </c>
      <c r="U160" s="1" t="s">
        <v>29</v>
      </c>
      <c r="W160" s="1" t="s">
        <v>36</v>
      </c>
      <c r="X160" s="1" t="str">
        <f>IF(urbanthreads_q4[[#This Row],[Qty]]&gt;0,"Valid","Invalid")</f>
        <v>Valid</v>
      </c>
      <c r="Y160" s="1">
        <f>urbanthreads_q4[[#This Row],[Total]]*urbanthreads_q4[[#This Row],[Disc %]]/100</f>
        <v>794.85</v>
      </c>
      <c r="Z160" s="1">
        <f>urbanthreads_q4[[#This Row],[Total]]-urbanthreads_q4[[#This Row],[Disc %]]</f>
        <v>5284</v>
      </c>
      <c r="AA160" s="1">
        <f>urbanthreads_q4[[#This Row],[Net revenue]]/urbanthreads_q4[[#This Row],[Total]]</f>
        <v>0.99716927722211735</v>
      </c>
      <c r="AB160" s="1" t="str">
        <f>TEXT(urbanthreads_q4[[#This Row],[Order Date]],"mm-yyyy")</f>
        <v>11-2024</v>
      </c>
      <c r="AC160" s="1" t="str">
        <f>YEAR(urbanthreads_q4[[#This Row],[Order Date]]) &amp; "-W" &amp; WEEKNUM(urbanthreads_q4[[#This Row],[Order Date]], 2)</f>
        <v>2024-W45</v>
      </c>
      <c r="AD160" s="1" t="str">
        <f>IF(urbanthreads_q4[[#This Row],[Payment]]="COD","COD","Prepaid")</f>
        <v>Prepaid</v>
      </c>
    </row>
    <row r="161" spans="1:30" x14ac:dyDescent="0.3">
      <c r="A161" s="1" t="s">
        <v>839</v>
      </c>
      <c r="B161" s="2">
        <v>45614</v>
      </c>
      <c r="C161" s="1" t="s">
        <v>840</v>
      </c>
      <c r="D161" s="1" t="s">
        <v>39</v>
      </c>
      <c r="E161" s="1" t="s">
        <v>841</v>
      </c>
      <c r="F161" s="1" t="s">
        <v>54</v>
      </c>
      <c r="G161" s="1" t="s">
        <v>842</v>
      </c>
      <c r="H161">
        <v>2299</v>
      </c>
      <c r="I161">
        <v>1</v>
      </c>
      <c r="J161">
        <v>2299</v>
      </c>
      <c r="K161" s="1" t="s">
        <v>29</v>
      </c>
      <c r="L161">
        <v>0</v>
      </c>
      <c r="M161" s="1" t="s">
        <v>30</v>
      </c>
      <c r="N161" s="1" t="s">
        <v>45</v>
      </c>
      <c r="O161" s="1" t="s">
        <v>156</v>
      </c>
      <c r="P161" s="1" t="s">
        <v>98</v>
      </c>
      <c r="Q161" s="1" t="s">
        <v>32</v>
      </c>
      <c r="R161" s="2">
        <v>45627</v>
      </c>
      <c r="S161" s="1" t="s">
        <v>34</v>
      </c>
      <c r="T161" s="1" t="s">
        <v>47</v>
      </c>
      <c r="U161" s="1" t="s">
        <v>48</v>
      </c>
      <c r="V161" s="2">
        <v>45656</v>
      </c>
      <c r="W161" s="1" t="s">
        <v>49</v>
      </c>
      <c r="X161" s="1" t="str">
        <f>IF(urbanthreads_q4[[#This Row],[Qty]]&gt;0,"Valid","Invalid")</f>
        <v>Valid</v>
      </c>
      <c r="Y161" s="1">
        <f>urbanthreads_q4[[#This Row],[Total]]*urbanthreads_q4[[#This Row],[Disc %]]/100</f>
        <v>0</v>
      </c>
      <c r="Z161" s="1">
        <f>urbanthreads_q4[[#This Row],[Total]]-urbanthreads_q4[[#This Row],[Disc %]]</f>
        <v>2299</v>
      </c>
      <c r="AA161" s="1">
        <f>urbanthreads_q4[[#This Row],[Net revenue]]/urbanthreads_q4[[#This Row],[Total]]</f>
        <v>1</v>
      </c>
      <c r="AB161" s="1" t="str">
        <f>TEXT(urbanthreads_q4[[#This Row],[Order Date]],"mm-yyyy")</f>
        <v>11-2024</v>
      </c>
      <c r="AC161" s="1" t="str">
        <f>YEAR(urbanthreads_q4[[#This Row],[Order Date]]) &amp; "-W" &amp; WEEKNUM(urbanthreads_q4[[#This Row],[Order Date]], 2)</f>
        <v>2024-W47</v>
      </c>
      <c r="AD161" s="1" t="str">
        <f>IF(urbanthreads_q4[[#This Row],[Payment]]="COD","COD","Prepaid")</f>
        <v>Prepaid</v>
      </c>
    </row>
    <row r="162" spans="1:30" x14ac:dyDescent="0.3">
      <c r="A162" s="1" t="s">
        <v>732</v>
      </c>
      <c r="B162" s="2">
        <v>45605</v>
      </c>
      <c r="C162" s="1" t="s">
        <v>733</v>
      </c>
      <c r="D162" s="1" t="s">
        <v>25</v>
      </c>
      <c r="E162" s="1" t="s">
        <v>734</v>
      </c>
      <c r="F162" s="1" t="s">
        <v>27</v>
      </c>
      <c r="G162" s="1" t="s">
        <v>735</v>
      </c>
      <c r="H162">
        <v>2099</v>
      </c>
      <c r="I162">
        <v>1</v>
      </c>
      <c r="J162">
        <v>2099</v>
      </c>
      <c r="K162" s="1" t="s">
        <v>29</v>
      </c>
      <c r="L162">
        <v>0</v>
      </c>
      <c r="M162" s="1" t="s">
        <v>56</v>
      </c>
      <c r="N162" s="1" t="s">
        <v>45</v>
      </c>
      <c r="O162" s="1" t="s">
        <v>161</v>
      </c>
      <c r="P162" s="1" t="s">
        <v>162</v>
      </c>
      <c r="Q162" s="1" t="s">
        <v>46</v>
      </c>
      <c r="S162" s="1" t="s">
        <v>121</v>
      </c>
      <c r="T162" s="1" t="s">
        <v>35</v>
      </c>
      <c r="U162" s="1" t="s">
        <v>29</v>
      </c>
      <c r="W162" s="1" t="s">
        <v>36</v>
      </c>
      <c r="X162" s="1" t="str">
        <f>IF(urbanthreads_q4[[#This Row],[Qty]]&gt;0,"Valid","Invalid")</f>
        <v>Valid</v>
      </c>
      <c r="Y162" s="1">
        <f>urbanthreads_q4[[#This Row],[Total]]*urbanthreads_q4[[#This Row],[Disc %]]/100</f>
        <v>0</v>
      </c>
      <c r="Z162" s="1">
        <f>urbanthreads_q4[[#This Row],[Total]]-urbanthreads_q4[[#This Row],[Disc %]]</f>
        <v>2099</v>
      </c>
      <c r="AA162" s="1">
        <f>urbanthreads_q4[[#This Row],[Net revenue]]/urbanthreads_q4[[#This Row],[Total]]</f>
        <v>1</v>
      </c>
      <c r="AB162" s="1" t="str">
        <f>TEXT(urbanthreads_q4[[#This Row],[Order Date]],"mm-yyyy")</f>
        <v>11-2024</v>
      </c>
      <c r="AC162" s="1" t="str">
        <f>YEAR(urbanthreads_q4[[#This Row],[Order Date]]) &amp; "-W" &amp; WEEKNUM(urbanthreads_q4[[#This Row],[Order Date]], 2)</f>
        <v>2024-W45</v>
      </c>
      <c r="AD162" s="1" t="str">
        <f>IF(urbanthreads_q4[[#This Row],[Payment]]="COD","COD","Prepaid")</f>
        <v>COD</v>
      </c>
    </row>
    <row r="163" spans="1:30" x14ac:dyDescent="0.3">
      <c r="A163" s="1" t="s">
        <v>843</v>
      </c>
      <c r="B163" s="2">
        <v>45614</v>
      </c>
      <c r="C163" s="1" t="s">
        <v>844</v>
      </c>
      <c r="D163" s="1" t="s">
        <v>25</v>
      </c>
      <c r="E163" s="1" t="s">
        <v>845</v>
      </c>
      <c r="F163" s="1" t="s">
        <v>62</v>
      </c>
      <c r="G163" s="1" t="s">
        <v>846</v>
      </c>
      <c r="H163">
        <v>5999</v>
      </c>
      <c r="I163">
        <v>1</v>
      </c>
      <c r="J163">
        <v>5999</v>
      </c>
      <c r="K163" s="1" t="s">
        <v>703</v>
      </c>
      <c r="L163">
        <v>15</v>
      </c>
      <c r="M163" s="1" t="s">
        <v>65</v>
      </c>
      <c r="N163" s="1" t="s">
        <v>66</v>
      </c>
      <c r="O163" s="1" t="s">
        <v>161</v>
      </c>
      <c r="P163" s="1" t="s">
        <v>162</v>
      </c>
      <c r="Q163" s="1" t="s">
        <v>46</v>
      </c>
      <c r="R163" s="2">
        <v>45630</v>
      </c>
      <c r="S163" s="1" t="s">
        <v>34</v>
      </c>
      <c r="T163" s="1" t="s">
        <v>47</v>
      </c>
      <c r="U163" s="1" t="s">
        <v>105</v>
      </c>
      <c r="V163" s="2">
        <v>45659</v>
      </c>
      <c r="W163" s="1" t="s">
        <v>49</v>
      </c>
      <c r="X163" s="1" t="str">
        <f>IF(urbanthreads_q4[[#This Row],[Qty]]&gt;0,"Valid","Invalid")</f>
        <v>Valid</v>
      </c>
      <c r="Y163" s="1">
        <f>urbanthreads_q4[[#This Row],[Total]]*urbanthreads_q4[[#This Row],[Disc %]]/100</f>
        <v>899.85</v>
      </c>
      <c r="Z163" s="1">
        <f>urbanthreads_q4[[#This Row],[Total]]-urbanthreads_q4[[#This Row],[Disc %]]</f>
        <v>5984</v>
      </c>
      <c r="AA163" s="1">
        <f>urbanthreads_q4[[#This Row],[Net revenue]]/urbanthreads_q4[[#This Row],[Total]]</f>
        <v>0.99749958326387733</v>
      </c>
      <c r="AB163" s="1" t="str">
        <f>TEXT(urbanthreads_q4[[#This Row],[Order Date]],"mm-yyyy")</f>
        <v>11-2024</v>
      </c>
      <c r="AC163" s="1" t="str">
        <f>YEAR(urbanthreads_q4[[#This Row],[Order Date]]) &amp; "-W" &amp; WEEKNUM(urbanthreads_q4[[#This Row],[Order Date]], 2)</f>
        <v>2024-W47</v>
      </c>
      <c r="AD163" s="1" t="str">
        <f>IF(urbanthreads_q4[[#This Row],[Payment]]="COD","COD","Prepaid")</f>
        <v>Prepaid</v>
      </c>
    </row>
    <row r="164" spans="1:30" x14ac:dyDescent="0.3">
      <c r="A164" s="1" t="s">
        <v>740</v>
      </c>
      <c r="B164" s="2">
        <v>45606</v>
      </c>
      <c r="C164" s="1" t="s">
        <v>741</v>
      </c>
      <c r="D164" s="1" t="s">
        <v>39</v>
      </c>
      <c r="E164" s="1" t="s">
        <v>742</v>
      </c>
      <c r="F164" s="1" t="s">
        <v>54</v>
      </c>
      <c r="G164" s="1" t="s">
        <v>743</v>
      </c>
      <c r="H164">
        <v>1799</v>
      </c>
      <c r="I164">
        <v>1</v>
      </c>
      <c r="J164">
        <v>1799</v>
      </c>
      <c r="K164" s="1" t="s">
        <v>29</v>
      </c>
      <c r="L164">
        <v>0</v>
      </c>
      <c r="M164" s="1" t="s">
        <v>112</v>
      </c>
      <c r="N164" s="1" t="s">
        <v>31</v>
      </c>
      <c r="O164" s="1" t="s">
        <v>172</v>
      </c>
      <c r="P164" s="1" t="s">
        <v>33</v>
      </c>
      <c r="Q164" s="1" t="s">
        <v>32</v>
      </c>
      <c r="R164" s="2">
        <v>45618</v>
      </c>
      <c r="S164" s="1" t="s">
        <v>34</v>
      </c>
      <c r="T164" s="1" t="s">
        <v>35</v>
      </c>
      <c r="U164" s="1" t="s">
        <v>29</v>
      </c>
      <c r="W164" s="1" t="s">
        <v>36</v>
      </c>
      <c r="X164" s="1" t="str">
        <f>IF(urbanthreads_q4[[#This Row],[Qty]]&gt;0,"Valid","Invalid")</f>
        <v>Valid</v>
      </c>
      <c r="Y164" s="1">
        <f>urbanthreads_q4[[#This Row],[Total]]*urbanthreads_q4[[#This Row],[Disc %]]/100</f>
        <v>0</v>
      </c>
      <c r="Z164" s="1">
        <f>urbanthreads_q4[[#This Row],[Total]]-urbanthreads_q4[[#This Row],[Disc %]]</f>
        <v>1799</v>
      </c>
      <c r="AA164" s="1">
        <f>urbanthreads_q4[[#This Row],[Net revenue]]/urbanthreads_q4[[#This Row],[Total]]</f>
        <v>1</v>
      </c>
      <c r="AB164" s="1" t="str">
        <f>TEXT(urbanthreads_q4[[#This Row],[Order Date]],"mm-yyyy")</f>
        <v>11-2024</v>
      </c>
      <c r="AC164" s="1" t="str">
        <f>YEAR(urbanthreads_q4[[#This Row],[Order Date]]) &amp; "-W" &amp; WEEKNUM(urbanthreads_q4[[#This Row],[Order Date]], 2)</f>
        <v>2024-W45</v>
      </c>
      <c r="AD164" s="1" t="str">
        <f>IF(urbanthreads_q4[[#This Row],[Payment]]="COD","COD","Prepaid")</f>
        <v>Prepaid</v>
      </c>
    </row>
    <row r="165" spans="1:30" x14ac:dyDescent="0.3">
      <c r="A165" s="1" t="s">
        <v>855</v>
      </c>
      <c r="B165" s="2">
        <v>45615</v>
      </c>
      <c r="C165" s="1" t="s">
        <v>856</v>
      </c>
      <c r="D165" s="1" t="s">
        <v>25</v>
      </c>
      <c r="E165" s="1" t="s">
        <v>857</v>
      </c>
      <c r="F165" s="1" t="s">
        <v>41</v>
      </c>
      <c r="G165" s="1" t="s">
        <v>858</v>
      </c>
      <c r="H165">
        <v>2999</v>
      </c>
      <c r="I165">
        <v>1</v>
      </c>
      <c r="J165">
        <v>2999</v>
      </c>
      <c r="K165" s="1" t="s">
        <v>29</v>
      </c>
      <c r="L165">
        <v>0</v>
      </c>
      <c r="M165" s="1" t="s">
        <v>30</v>
      </c>
      <c r="N165" s="1" t="s">
        <v>66</v>
      </c>
      <c r="O165" s="1" t="s">
        <v>177</v>
      </c>
      <c r="P165" s="1" t="s">
        <v>68</v>
      </c>
      <c r="Q165" s="1" t="s">
        <v>57</v>
      </c>
      <c r="R165" s="2">
        <v>45631</v>
      </c>
      <c r="S165" s="1" t="s">
        <v>34</v>
      </c>
      <c r="T165" s="1" t="s">
        <v>47</v>
      </c>
      <c r="U165" s="1" t="s">
        <v>80</v>
      </c>
      <c r="V165" s="2">
        <v>45660</v>
      </c>
      <c r="W165" s="1" t="s">
        <v>49</v>
      </c>
      <c r="X165" s="1" t="str">
        <f>IF(urbanthreads_q4[[#This Row],[Qty]]&gt;0,"Valid","Invalid")</f>
        <v>Valid</v>
      </c>
      <c r="Y165" s="1">
        <f>urbanthreads_q4[[#This Row],[Total]]*urbanthreads_q4[[#This Row],[Disc %]]/100</f>
        <v>0</v>
      </c>
      <c r="Z165" s="1">
        <f>urbanthreads_q4[[#This Row],[Total]]-urbanthreads_q4[[#This Row],[Disc %]]</f>
        <v>2999</v>
      </c>
      <c r="AA165" s="1">
        <f>urbanthreads_q4[[#This Row],[Net revenue]]/urbanthreads_q4[[#This Row],[Total]]</f>
        <v>1</v>
      </c>
      <c r="AB165" s="1" t="str">
        <f>TEXT(urbanthreads_q4[[#This Row],[Order Date]],"mm-yyyy")</f>
        <v>11-2024</v>
      </c>
      <c r="AC165" s="1" t="str">
        <f>YEAR(urbanthreads_q4[[#This Row],[Order Date]]) &amp; "-W" &amp; WEEKNUM(urbanthreads_q4[[#This Row],[Order Date]], 2)</f>
        <v>2024-W47</v>
      </c>
      <c r="AD165" s="1" t="str">
        <f>IF(urbanthreads_q4[[#This Row],[Payment]]="COD","COD","Prepaid")</f>
        <v>Prepaid</v>
      </c>
    </row>
    <row r="166" spans="1:30" x14ac:dyDescent="0.3">
      <c r="A166" s="1" t="s">
        <v>748</v>
      </c>
      <c r="B166" s="2">
        <v>45606</v>
      </c>
      <c r="C166" s="1" t="s">
        <v>749</v>
      </c>
      <c r="D166" s="1" t="s">
        <v>25</v>
      </c>
      <c r="E166" s="1" t="s">
        <v>750</v>
      </c>
      <c r="F166" s="1" t="s">
        <v>72</v>
      </c>
      <c r="G166" s="1" t="s">
        <v>751</v>
      </c>
      <c r="H166">
        <v>699</v>
      </c>
      <c r="I166">
        <v>2</v>
      </c>
      <c r="J166">
        <v>1398</v>
      </c>
      <c r="K166" s="1" t="s">
        <v>29</v>
      </c>
      <c r="L166">
        <v>0</v>
      </c>
      <c r="M166" s="1" t="s">
        <v>65</v>
      </c>
      <c r="N166" s="1" t="s">
        <v>66</v>
      </c>
      <c r="O166" s="1" t="s">
        <v>182</v>
      </c>
      <c r="P166" s="1" t="s">
        <v>183</v>
      </c>
      <c r="Q166" s="1" t="s">
        <v>57</v>
      </c>
      <c r="R166" s="2">
        <v>45619</v>
      </c>
      <c r="S166" s="1" t="s">
        <v>34</v>
      </c>
      <c r="T166" s="1" t="s">
        <v>35</v>
      </c>
      <c r="U166" s="1" t="s">
        <v>29</v>
      </c>
      <c r="W166" s="1" t="s">
        <v>36</v>
      </c>
      <c r="X166" s="1" t="str">
        <f>IF(urbanthreads_q4[[#This Row],[Qty]]&gt;0,"Valid","Invalid")</f>
        <v>Valid</v>
      </c>
      <c r="Y166" s="1">
        <f>urbanthreads_q4[[#This Row],[Total]]*urbanthreads_q4[[#This Row],[Disc %]]/100</f>
        <v>0</v>
      </c>
      <c r="Z166" s="1">
        <f>urbanthreads_q4[[#This Row],[Total]]-urbanthreads_q4[[#This Row],[Disc %]]</f>
        <v>1398</v>
      </c>
      <c r="AA166" s="1">
        <f>urbanthreads_q4[[#This Row],[Net revenue]]/urbanthreads_q4[[#This Row],[Total]]</f>
        <v>1</v>
      </c>
      <c r="AB166" s="1" t="str">
        <f>TEXT(urbanthreads_q4[[#This Row],[Order Date]],"mm-yyyy")</f>
        <v>11-2024</v>
      </c>
      <c r="AC166" s="1" t="str">
        <f>YEAR(urbanthreads_q4[[#This Row],[Order Date]]) &amp; "-W" &amp; WEEKNUM(urbanthreads_q4[[#This Row],[Order Date]], 2)</f>
        <v>2024-W45</v>
      </c>
      <c r="AD166" s="1" t="str">
        <f>IF(urbanthreads_q4[[#This Row],[Payment]]="COD","COD","Prepaid")</f>
        <v>Prepaid</v>
      </c>
    </row>
    <row r="167" spans="1:30" x14ac:dyDescent="0.3">
      <c r="A167" s="1" t="s">
        <v>863</v>
      </c>
      <c r="B167" s="2">
        <v>45616</v>
      </c>
      <c r="C167" s="1" t="s">
        <v>864</v>
      </c>
      <c r="D167" s="1" t="s">
        <v>25</v>
      </c>
      <c r="E167" s="1" t="s">
        <v>865</v>
      </c>
      <c r="F167" s="1" t="s">
        <v>62</v>
      </c>
      <c r="G167" s="1" t="s">
        <v>866</v>
      </c>
      <c r="H167">
        <v>4899</v>
      </c>
      <c r="I167">
        <v>1</v>
      </c>
      <c r="J167">
        <v>4899</v>
      </c>
      <c r="K167" s="1" t="s">
        <v>29</v>
      </c>
      <c r="L167">
        <v>0</v>
      </c>
      <c r="M167" s="1" t="s">
        <v>65</v>
      </c>
      <c r="N167" s="1" t="s">
        <v>45</v>
      </c>
      <c r="O167" s="1" t="s">
        <v>188</v>
      </c>
      <c r="P167" s="1" t="s">
        <v>189</v>
      </c>
      <c r="Q167" s="1" t="s">
        <v>57</v>
      </c>
      <c r="R167" s="2">
        <v>45632</v>
      </c>
      <c r="S167" s="1" t="s">
        <v>34</v>
      </c>
      <c r="T167" s="1" t="s">
        <v>47</v>
      </c>
      <c r="U167" s="1" t="s">
        <v>69</v>
      </c>
      <c r="V167" s="2">
        <v>45661</v>
      </c>
      <c r="W167" s="1" t="s">
        <v>49</v>
      </c>
      <c r="X167" s="1" t="str">
        <f>IF(urbanthreads_q4[[#This Row],[Qty]]&gt;0,"Valid","Invalid")</f>
        <v>Valid</v>
      </c>
      <c r="Y167" s="1">
        <f>urbanthreads_q4[[#This Row],[Total]]*urbanthreads_q4[[#This Row],[Disc %]]/100</f>
        <v>0</v>
      </c>
      <c r="Z167" s="1">
        <f>urbanthreads_q4[[#This Row],[Total]]-urbanthreads_q4[[#This Row],[Disc %]]</f>
        <v>4899</v>
      </c>
      <c r="AA167" s="1">
        <f>urbanthreads_q4[[#This Row],[Net revenue]]/urbanthreads_q4[[#This Row],[Total]]</f>
        <v>1</v>
      </c>
      <c r="AB167" s="1" t="str">
        <f>TEXT(urbanthreads_q4[[#This Row],[Order Date]],"mm-yyyy")</f>
        <v>11-2024</v>
      </c>
      <c r="AC167" s="1" t="str">
        <f>YEAR(urbanthreads_q4[[#This Row],[Order Date]]) &amp; "-W" &amp; WEEKNUM(urbanthreads_q4[[#This Row],[Order Date]], 2)</f>
        <v>2024-W47</v>
      </c>
      <c r="AD167" s="1" t="str">
        <f>IF(urbanthreads_q4[[#This Row],[Payment]]="COD","COD","Prepaid")</f>
        <v>Prepaid</v>
      </c>
    </row>
    <row r="168" spans="1:30" x14ac:dyDescent="0.3">
      <c r="A168" s="1" t="s">
        <v>871</v>
      </c>
      <c r="B168" s="2">
        <v>45617</v>
      </c>
      <c r="C168" s="1" t="s">
        <v>872</v>
      </c>
      <c r="D168" s="1" t="s">
        <v>25</v>
      </c>
      <c r="E168" s="1" t="s">
        <v>873</v>
      </c>
      <c r="F168" s="1" t="s">
        <v>27</v>
      </c>
      <c r="G168" s="1" t="s">
        <v>874</v>
      </c>
      <c r="H168">
        <v>1999</v>
      </c>
      <c r="I168">
        <v>1</v>
      </c>
      <c r="J168">
        <v>1999</v>
      </c>
      <c r="K168" s="1" t="s">
        <v>29</v>
      </c>
      <c r="L168">
        <v>0</v>
      </c>
      <c r="M168" s="1" t="s">
        <v>30</v>
      </c>
      <c r="N168" s="1" t="s">
        <v>31</v>
      </c>
      <c r="O168" s="1" t="s">
        <v>199</v>
      </c>
      <c r="P168" s="1" t="s">
        <v>58</v>
      </c>
      <c r="Q168" s="1" t="s">
        <v>57</v>
      </c>
      <c r="R168" s="2">
        <v>45631</v>
      </c>
      <c r="S168" s="1" t="s">
        <v>34</v>
      </c>
      <c r="T168" s="1" t="s">
        <v>47</v>
      </c>
      <c r="U168" s="1" t="s">
        <v>48</v>
      </c>
      <c r="V168" s="2">
        <v>45660</v>
      </c>
      <c r="W168" s="1" t="s">
        <v>49</v>
      </c>
      <c r="X168" s="1" t="str">
        <f>IF(urbanthreads_q4[[#This Row],[Qty]]&gt;0,"Valid","Invalid")</f>
        <v>Valid</v>
      </c>
      <c r="Y168" s="1">
        <f>urbanthreads_q4[[#This Row],[Total]]*urbanthreads_q4[[#This Row],[Disc %]]/100</f>
        <v>0</v>
      </c>
      <c r="Z168" s="1">
        <f>urbanthreads_q4[[#This Row],[Total]]-urbanthreads_q4[[#This Row],[Disc %]]</f>
        <v>1999</v>
      </c>
      <c r="AA168" s="1">
        <f>urbanthreads_q4[[#This Row],[Net revenue]]/urbanthreads_q4[[#This Row],[Total]]</f>
        <v>1</v>
      </c>
      <c r="AB168" s="1" t="str">
        <f>TEXT(urbanthreads_q4[[#This Row],[Order Date]],"mm-yyyy")</f>
        <v>11-2024</v>
      </c>
      <c r="AC168" s="1" t="str">
        <f>YEAR(urbanthreads_q4[[#This Row],[Order Date]]) &amp; "-W" &amp; WEEKNUM(urbanthreads_q4[[#This Row],[Order Date]], 2)</f>
        <v>2024-W47</v>
      </c>
      <c r="AD168" s="1" t="str">
        <f>IF(urbanthreads_q4[[#This Row],[Payment]]="COD","COD","Prepaid")</f>
        <v>Prepaid</v>
      </c>
    </row>
    <row r="169" spans="1:30" x14ac:dyDescent="0.3">
      <c r="A169" s="1" t="s">
        <v>759</v>
      </c>
      <c r="B169" s="2">
        <v>45607</v>
      </c>
      <c r="C169" s="1" t="s">
        <v>760</v>
      </c>
      <c r="D169" s="1" t="s">
        <v>39</v>
      </c>
      <c r="E169" s="1" t="s">
        <v>761</v>
      </c>
      <c r="F169" s="1" t="s">
        <v>54</v>
      </c>
      <c r="G169" s="1" t="s">
        <v>762</v>
      </c>
      <c r="H169">
        <v>2199</v>
      </c>
      <c r="I169">
        <v>1</v>
      </c>
      <c r="J169">
        <v>2199</v>
      </c>
      <c r="K169" s="1" t="s">
        <v>29</v>
      </c>
      <c r="L169">
        <v>0</v>
      </c>
      <c r="M169" s="1" t="s">
        <v>30</v>
      </c>
      <c r="N169" s="1" t="s">
        <v>66</v>
      </c>
      <c r="O169" s="1" t="s">
        <v>199</v>
      </c>
      <c r="P169" s="1" t="s">
        <v>58</v>
      </c>
      <c r="Q169" s="1" t="s">
        <v>57</v>
      </c>
      <c r="R169" s="2">
        <v>45620</v>
      </c>
      <c r="S169" s="1" t="s">
        <v>34</v>
      </c>
      <c r="T169" s="1" t="s">
        <v>35</v>
      </c>
      <c r="U169" s="1" t="s">
        <v>29</v>
      </c>
      <c r="W169" s="1" t="s">
        <v>36</v>
      </c>
      <c r="X169" s="1" t="str">
        <f>IF(urbanthreads_q4[[#This Row],[Qty]]&gt;0,"Valid","Invalid")</f>
        <v>Valid</v>
      </c>
      <c r="Y169" s="1">
        <f>urbanthreads_q4[[#This Row],[Total]]*urbanthreads_q4[[#This Row],[Disc %]]/100</f>
        <v>0</v>
      </c>
      <c r="Z169" s="1">
        <f>urbanthreads_q4[[#This Row],[Total]]-urbanthreads_q4[[#This Row],[Disc %]]</f>
        <v>2199</v>
      </c>
      <c r="AA169" s="1">
        <f>urbanthreads_q4[[#This Row],[Net revenue]]/urbanthreads_q4[[#This Row],[Total]]</f>
        <v>1</v>
      </c>
      <c r="AB169" s="1" t="str">
        <f>TEXT(urbanthreads_q4[[#This Row],[Order Date]],"mm-yyyy")</f>
        <v>11-2024</v>
      </c>
      <c r="AC169" s="1" t="str">
        <f>YEAR(urbanthreads_q4[[#This Row],[Order Date]]) &amp; "-W" &amp; WEEKNUM(urbanthreads_q4[[#This Row],[Order Date]], 2)</f>
        <v>2024-W46</v>
      </c>
      <c r="AD169" s="1" t="str">
        <f>IF(urbanthreads_q4[[#This Row],[Payment]]="COD","COD","Prepaid")</f>
        <v>Prepaid</v>
      </c>
    </row>
    <row r="170" spans="1:30" x14ac:dyDescent="0.3">
      <c r="A170" s="1" t="s">
        <v>875</v>
      </c>
      <c r="B170" s="2">
        <v>45617</v>
      </c>
      <c r="C170" s="1" t="s">
        <v>876</v>
      </c>
      <c r="D170" s="1" t="s">
        <v>25</v>
      </c>
      <c r="E170" s="1" t="s">
        <v>877</v>
      </c>
      <c r="F170" s="1" t="s">
        <v>41</v>
      </c>
      <c r="G170" s="1" t="s">
        <v>878</v>
      </c>
      <c r="H170">
        <v>3499</v>
      </c>
      <c r="I170">
        <v>1</v>
      </c>
      <c r="J170">
        <v>3499</v>
      </c>
      <c r="K170" s="1" t="s">
        <v>703</v>
      </c>
      <c r="L170">
        <v>15</v>
      </c>
      <c r="M170" s="1" t="s">
        <v>56</v>
      </c>
      <c r="N170" s="1" t="s">
        <v>45</v>
      </c>
      <c r="O170" s="1" t="s">
        <v>204</v>
      </c>
      <c r="P170" s="1" t="s">
        <v>98</v>
      </c>
      <c r="Q170" s="1" t="s">
        <v>32</v>
      </c>
      <c r="R170" s="2">
        <v>45633</v>
      </c>
      <c r="S170" s="1" t="s">
        <v>34</v>
      </c>
      <c r="T170" s="1" t="s">
        <v>47</v>
      </c>
      <c r="U170" s="1" t="s">
        <v>105</v>
      </c>
      <c r="V170" s="2">
        <v>45662</v>
      </c>
      <c r="W170" s="1" t="s">
        <v>49</v>
      </c>
      <c r="X170" s="1" t="str">
        <f>IF(urbanthreads_q4[[#This Row],[Qty]]&gt;0,"Valid","Invalid")</f>
        <v>Valid</v>
      </c>
      <c r="Y170" s="1">
        <f>urbanthreads_q4[[#This Row],[Total]]*urbanthreads_q4[[#This Row],[Disc %]]/100</f>
        <v>524.85</v>
      </c>
      <c r="Z170" s="1">
        <f>urbanthreads_q4[[#This Row],[Total]]-urbanthreads_q4[[#This Row],[Disc %]]</f>
        <v>3484</v>
      </c>
      <c r="AA170" s="1">
        <f>urbanthreads_q4[[#This Row],[Net revenue]]/urbanthreads_q4[[#This Row],[Total]]</f>
        <v>0.99571306087453559</v>
      </c>
      <c r="AB170" s="1" t="str">
        <f>TEXT(urbanthreads_q4[[#This Row],[Order Date]],"mm-yyyy")</f>
        <v>11-2024</v>
      </c>
      <c r="AC170" s="1" t="str">
        <f>YEAR(urbanthreads_q4[[#This Row],[Order Date]]) &amp; "-W" &amp; WEEKNUM(urbanthreads_q4[[#This Row],[Order Date]], 2)</f>
        <v>2024-W47</v>
      </c>
      <c r="AD170" s="1" t="str">
        <f>IF(urbanthreads_q4[[#This Row],[Payment]]="COD","COD","Prepaid")</f>
        <v>COD</v>
      </c>
    </row>
    <row r="171" spans="1:30" x14ac:dyDescent="0.3">
      <c r="A171" s="1" t="s">
        <v>767</v>
      </c>
      <c r="B171" s="2">
        <v>45608</v>
      </c>
      <c r="C171" s="1" t="s">
        <v>768</v>
      </c>
      <c r="D171" s="1" t="s">
        <v>25</v>
      </c>
      <c r="E171" s="1" t="s">
        <v>769</v>
      </c>
      <c r="F171" s="1" t="s">
        <v>72</v>
      </c>
      <c r="G171" s="1" t="s">
        <v>770</v>
      </c>
      <c r="H171">
        <v>399</v>
      </c>
      <c r="I171">
        <v>2</v>
      </c>
      <c r="J171">
        <v>798</v>
      </c>
      <c r="K171" s="1" t="s">
        <v>703</v>
      </c>
      <c r="L171">
        <v>15</v>
      </c>
      <c r="M171" s="1" t="s">
        <v>112</v>
      </c>
      <c r="N171" s="1" t="s">
        <v>45</v>
      </c>
      <c r="O171" s="1" t="s">
        <v>209</v>
      </c>
      <c r="P171" s="1" t="s">
        <v>98</v>
      </c>
      <c r="Q171" s="1" t="s">
        <v>32</v>
      </c>
      <c r="R171" s="2">
        <v>45621</v>
      </c>
      <c r="S171" s="1" t="s">
        <v>34</v>
      </c>
      <c r="T171" s="1" t="s">
        <v>35</v>
      </c>
      <c r="U171" s="1" t="s">
        <v>29</v>
      </c>
      <c r="W171" s="1" t="s">
        <v>36</v>
      </c>
      <c r="X171" s="1" t="str">
        <f>IF(urbanthreads_q4[[#This Row],[Qty]]&gt;0,"Valid","Invalid")</f>
        <v>Valid</v>
      </c>
      <c r="Y171" s="1">
        <f>urbanthreads_q4[[#This Row],[Total]]*urbanthreads_q4[[#This Row],[Disc %]]/100</f>
        <v>119.7</v>
      </c>
      <c r="Z171" s="1">
        <f>urbanthreads_q4[[#This Row],[Total]]-urbanthreads_q4[[#This Row],[Disc %]]</f>
        <v>783</v>
      </c>
      <c r="AA171" s="1">
        <f>urbanthreads_q4[[#This Row],[Net revenue]]/urbanthreads_q4[[#This Row],[Total]]</f>
        <v>0.98120300751879697</v>
      </c>
      <c r="AB171" s="1" t="str">
        <f>TEXT(urbanthreads_q4[[#This Row],[Order Date]],"mm-yyyy")</f>
        <v>11-2024</v>
      </c>
      <c r="AC171" s="1" t="str">
        <f>YEAR(urbanthreads_q4[[#This Row],[Order Date]]) &amp; "-W" &amp; WEEKNUM(urbanthreads_q4[[#This Row],[Order Date]], 2)</f>
        <v>2024-W46</v>
      </c>
      <c r="AD171" s="1" t="str">
        <f>IF(urbanthreads_q4[[#This Row],[Payment]]="COD","COD","Prepaid")</f>
        <v>Prepaid</v>
      </c>
    </row>
    <row r="172" spans="1:30" x14ac:dyDescent="0.3">
      <c r="A172" s="1" t="s">
        <v>883</v>
      </c>
      <c r="B172" s="2">
        <v>45618</v>
      </c>
      <c r="C172" s="1" t="s">
        <v>884</v>
      </c>
      <c r="D172" s="1" t="s">
        <v>25</v>
      </c>
      <c r="E172" s="1" t="s">
        <v>885</v>
      </c>
      <c r="F172" s="1" t="s">
        <v>62</v>
      </c>
      <c r="G172" s="1" t="s">
        <v>886</v>
      </c>
      <c r="H172">
        <v>5499</v>
      </c>
      <c r="I172">
        <v>1</v>
      </c>
      <c r="J172">
        <v>5499</v>
      </c>
      <c r="K172" s="1" t="s">
        <v>29</v>
      </c>
      <c r="L172">
        <v>0</v>
      </c>
      <c r="M172" s="1" t="s">
        <v>112</v>
      </c>
      <c r="N172" s="1" t="s">
        <v>31</v>
      </c>
      <c r="O172" s="1" t="s">
        <v>214</v>
      </c>
      <c r="P172" s="1" t="s">
        <v>114</v>
      </c>
      <c r="Q172" s="1" t="s">
        <v>46</v>
      </c>
      <c r="R172" s="2">
        <v>45634</v>
      </c>
      <c r="S172" s="1" t="s">
        <v>34</v>
      </c>
      <c r="T172" s="1" t="s">
        <v>47</v>
      </c>
      <c r="U172" s="1" t="s">
        <v>80</v>
      </c>
      <c r="V172" s="2">
        <v>45663</v>
      </c>
      <c r="W172" s="1" t="s">
        <v>49</v>
      </c>
      <c r="X172" s="1" t="str">
        <f>IF(urbanthreads_q4[[#This Row],[Qty]]&gt;0,"Valid","Invalid")</f>
        <v>Valid</v>
      </c>
      <c r="Y172" s="1">
        <f>urbanthreads_q4[[#This Row],[Total]]*urbanthreads_q4[[#This Row],[Disc %]]/100</f>
        <v>0</v>
      </c>
      <c r="Z172" s="1">
        <f>urbanthreads_q4[[#This Row],[Total]]-urbanthreads_q4[[#This Row],[Disc %]]</f>
        <v>5499</v>
      </c>
      <c r="AA172" s="1">
        <f>urbanthreads_q4[[#This Row],[Net revenue]]/urbanthreads_q4[[#This Row],[Total]]</f>
        <v>1</v>
      </c>
      <c r="AB172" s="1" t="str">
        <f>TEXT(urbanthreads_q4[[#This Row],[Order Date]],"mm-yyyy")</f>
        <v>11-2024</v>
      </c>
      <c r="AC172" s="1" t="str">
        <f>YEAR(urbanthreads_q4[[#This Row],[Order Date]]) &amp; "-W" &amp; WEEKNUM(urbanthreads_q4[[#This Row],[Order Date]], 2)</f>
        <v>2024-W47</v>
      </c>
      <c r="AD172" s="1" t="str">
        <f>IF(urbanthreads_q4[[#This Row],[Payment]]="COD","COD","Prepaid")</f>
        <v>Prepaid</v>
      </c>
    </row>
    <row r="173" spans="1:30" x14ac:dyDescent="0.3">
      <c r="A173" s="1" t="s">
        <v>775</v>
      </c>
      <c r="B173" s="2">
        <v>45609</v>
      </c>
      <c r="C173" s="1" t="s">
        <v>776</v>
      </c>
      <c r="D173" s="1" t="s">
        <v>25</v>
      </c>
      <c r="E173" s="1" t="s">
        <v>777</v>
      </c>
      <c r="F173" s="1" t="s">
        <v>41</v>
      </c>
      <c r="G173" s="1" t="s">
        <v>778</v>
      </c>
      <c r="H173">
        <v>2699</v>
      </c>
      <c r="I173">
        <v>1</v>
      </c>
      <c r="J173">
        <v>2699</v>
      </c>
      <c r="K173" s="1" t="s">
        <v>29</v>
      </c>
      <c r="L173">
        <v>0</v>
      </c>
      <c r="M173" s="1" t="s">
        <v>30</v>
      </c>
      <c r="N173" s="1" t="s">
        <v>31</v>
      </c>
      <c r="O173" s="1" t="s">
        <v>32</v>
      </c>
      <c r="P173" s="1" t="s">
        <v>33</v>
      </c>
      <c r="Q173" s="1" t="s">
        <v>32</v>
      </c>
      <c r="R173" s="2">
        <v>45624</v>
      </c>
      <c r="S173" s="1" t="s">
        <v>34</v>
      </c>
      <c r="T173" s="1" t="s">
        <v>35</v>
      </c>
      <c r="U173" s="1" t="s">
        <v>29</v>
      </c>
      <c r="W173" s="1" t="s">
        <v>36</v>
      </c>
      <c r="X173" s="1" t="str">
        <f>IF(urbanthreads_q4[[#This Row],[Qty]]&gt;0,"Valid","Invalid")</f>
        <v>Valid</v>
      </c>
      <c r="Y173" s="1">
        <f>urbanthreads_q4[[#This Row],[Total]]*urbanthreads_q4[[#This Row],[Disc %]]/100</f>
        <v>0</v>
      </c>
      <c r="Z173" s="1">
        <f>urbanthreads_q4[[#This Row],[Total]]-urbanthreads_q4[[#This Row],[Disc %]]</f>
        <v>2699</v>
      </c>
      <c r="AA173" s="1">
        <f>urbanthreads_q4[[#This Row],[Net revenue]]/urbanthreads_q4[[#This Row],[Total]]</f>
        <v>1</v>
      </c>
      <c r="AB173" s="1" t="str">
        <f>TEXT(urbanthreads_q4[[#This Row],[Order Date]],"mm-yyyy")</f>
        <v>11-2024</v>
      </c>
      <c r="AC173" s="1" t="str">
        <f>YEAR(urbanthreads_q4[[#This Row],[Order Date]]) &amp; "-W" &amp; WEEKNUM(urbanthreads_q4[[#This Row],[Order Date]], 2)</f>
        <v>2024-W46</v>
      </c>
      <c r="AD173" s="1" t="str">
        <f>IF(urbanthreads_q4[[#This Row],[Payment]]="COD","COD","Prepaid")</f>
        <v>Prepaid</v>
      </c>
    </row>
    <row r="174" spans="1:30" x14ac:dyDescent="0.3">
      <c r="A174" s="1" t="s">
        <v>891</v>
      </c>
      <c r="B174" s="2">
        <v>45618</v>
      </c>
      <c r="C174" s="1" t="s">
        <v>892</v>
      </c>
      <c r="D174" s="1" t="s">
        <v>25</v>
      </c>
      <c r="E174" s="1" t="s">
        <v>893</v>
      </c>
      <c r="F174" s="1" t="s">
        <v>27</v>
      </c>
      <c r="G174" s="1" t="s">
        <v>894</v>
      </c>
      <c r="H174">
        <v>1699</v>
      </c>
      <c r="I174">
        <v>1</v>
      </c>
      <c r="J174">
        <v>1699</v>
      </c>
      <c r="K174" s="1" t="s">
        <v>703</v>
      </c>
      <c r="L174">
        <v>15</v>
      </c>
      <c r="M174" s="1" t="s">
        <v>30</v>
      </c>
      <c r="N174" s="1" t="s">
        <v>66</v>
      </c>
      <c r="O174" s="1" t="s">
        <v>46</v>
      </c>
      <c r="P174" s="1" t="s">
        <v>46</v>
      </c>
      <c r="Q174" s="1" t="s">
        <v>46</v>
      </c>
      <c r="R174" s="2">
        <v>45633</v>
      </c>
      <c r="S174" s="1" t="s">
        <v>34</v>
      </c>
      <c r="T174" s="1" t="s">
        <v>47</v>
      </c>
      <c r="U174" s="1" t="s">
        <v>139</v>
      </c>
      <c r="V174" s="2">
        <v>45662</v>
      </c>
      <c r="W174" s="1" t="s">
        <v>49</v>
      </c>
      <c r="X174" s="1" t="str">
        <f>IF(urbanthreads_q4[[#This Row],[Qty]]&gt;0,"Valid","Invalid")</f>
        <v>Valid</v>
      </c>
      <c r="Y174" s="1">
        <f>urbanthreads_q4[[#This Row],[Total]]*urbanthreads_q4[[#This Row],[Disc %]]/100</f>
        <v>254.85</v>
      </c>
      <c r="Z174" s="1">
        <f>urbanthreads_q4[[#This Row],[Total]]-urbanthreads_q4[[#This Row],[Disc %]]</f>
        <v>1684</v>
      </c>
      <c r="AA174" s="1">
        <f>urbanthreads_q4[[#This Row],[Net revenue]]/urbanthreads_q4[[#This Row],[Total]]</f>
        <v>0.99117127722189524</v>
      </c>
      <c r="AB174" s="1" t="str">
        <f>TEXT(urbanthreads_q4[[#This Row],[Order Date]],"mm-yyyy")</f>
        <v>11-2024</v>
      </c>
      <c r="AC174" s="1" t="str">
        <f>YEAR(urbanthreads_q4[[#This Row],[Order Date]]) &amp; "-W" &amp; WEEKNUM(urbanthreads_q4[[#This Row],[Order Date]], 2)</f>
        <v>2024-W47</v>
      </c>
      <c r="AD174" s="1" t="str">
        <f>IF(urbanthreads_q4[[#This Row],[Payment]]="COD","COD","Prepaid")</f>
        <v>Prepaid</v>
      </c>
    </row>
    <row r="175" spans="1:30" x14ac:dyDescent="0.3">
      <c r="A175" s="1" t="s">
        <v>783</v>
      </c>
      <c r="B175" s="2">
        <v>45609</v>
      </c>
      <c r="C175" s="1" t="s">
        <v>784</v>
      </c>
      <c r="D175" s="1" t="s">
        <v>25</v>
      </c>
      <c r="E175" s="1" t="s">
        <v>785</v>
      </c>
      <c r="F175" s="1" t="s">
        <v>62</v>
      </c>
      <c r="G175" s="1" t="s">
        <v>786</v>
      </c>
      <c r="H175">
        <v>6299</v>
      </c>
      <c r="I175">
        <v>1</v>
      </c>
      <c r="J175">
        <v>6299</v>
      </c>
      <c r="K175" s="1" t="s">
        <v>29</v>
      </c>
      <c r="L175">
        <v>0</v>
      </c>
      <c r="M175" s="1" t="s">
        <v>56</v>
      </c>
      <c r="N175" s="1" t="s">
        <v>66</v>
      </c>
      <c r="O175" s="1" t="s">
        <v>91</v>
      </c>
      <c r="P175" s="1" t="s">
        <v>92</v>
      </c>
      <c r="Q175" s="1" t="s">
        <v>46</v>
      </c>
      <c r="S175" s="1" t="s">
        <v>121</v>
      </c>
      <c r="T175" s="1" t="s">
        <v>35</v>
      </c>
      <c r="U175" s="1" t="s">
        <v>29</v>
      </c>
      <c r="W175" s="1" t="s">
        <v>36</v>
      </c>
      <c r="X175" s="1" t="str">
        <f>IF(urbanthreads_q4[[#This Row],[Qty]]&gt;0,"Valid","Invalid")</f>
        <v>Valid</v>
      </c>
      <c r="Y175" s="1">
        <f>urbanthreads_q4[[#This Row],[Total]]*urbanthreads_q4[[#This Row],[Disc %]]/100</f>
        <v>0</v>
      </c>
      <c r="Z175" s="1">
        <f>urbanthreads_q4[[#This Row],[Total]]-urbanthreads_q4[[#This Row],[Disc %]]</f>
        <v>6299</v>
      </c>
      <c r="AA175" s="1">
        <f>urbanthreads_q4[[#This Row],[Net revenue]]/urbanthreads_q4[[#This Row],[Total]]</f>
        <v>1</v>
      </c>
      <c r="AB175" s="1" t="str">
        <f>TEXT(urbanthreads_q4[[#This Row],[Order Date]],"mm-yyyy")</f>
        <v>11-2024</v>
      </c>
      <c r="AC175" s="1" t="str">
        <f>YEAR(urbanthreads_q4[[#This Row],[Order Date]]) &amp; "-W" &amp; WEEKNUM(urbanthreads_q4[[#This Row],[Order Date]], 2)</f>
        <v>2024-W46</v>
      </c>
      <c r="AD175" s="1" t="str">
        <f>IF(urbanthreads_q4[[#This Row],[Payment]]="COD","COD","Prepaid")</f>
        <v>COD</v>
      </c>
    </row>
    <row r="176" spans="1:30" x14ac:dyDescent="0.3">
      <c r="A176" s="1" t="s">
        <v>899</v>
      </c>
      <c r="B176" s="2">
        <v>45619</v>
      </c>
      <c r="C176" s="1" t="s">
        <v>900</v>
      </c>
      <c r="D176" s="1" t="s">
        <v>39</v>
      </c>
      <c r="E176" s="1" t="s">
        <v>901</v>
      </c>
      <c r="F176" s="1" t="s">
        <v>54</v>
      </c>
      <c r="G176" s="1" t="s">
        <v>902</v>
      </c>
      <c r="H176">
        <v>2399</v>
      </c>
      <c r="I176">
        <v>1</v>
      </c>
      <c r="J176">
        <v>2399</v>
      </c>
      <c r="K176" s="1" t="s">
        <v>29</v>
      </c>
      <c r="L176">
        <v>0</v>
      </c>
      <c r="M176" s="1" t="s">
        <v>56</v>
      </c>
      <c r="N176" s="1" t="s">
        <v>45</v>
      </c>
      <c r="O176" s="1" t="s">
        <v>67</v>
      </c>
      <c r="P176" s="1" t="s">
        <v>68</v>
      </c>
      <c r="Q176" s="1" t="s">
        <v>57</v>
      </c>
      <c r="R176" s="2">
        <v>45633</v>
      </c>
      <c r="S176" s="1" t="s">
        <v>34</v>
      </c>
      <c r="T176" s="1" t="s">
        <v>47</v>
      </c>
      <c r="U176" s="1" t="s">
        <v>69</v>
      </c>
      <c r="V176" s="2">
        <v>45661</v>
      </c>
      <c r="W176" s="1" t="s">
        <v>49</v>
      </c>
      <c r="X176" s="1" t="str">
        <f>IF(urbanthreads_q4[[#This Row],[Qty]]&gt;0,"Valid","Invalid")</f>
        <v>Valid</v>
      </c>
      <c r="Y176" s="1">
        <f>urbanthreads_q4[[#This Row],[Total]]*urbanthreads_q4[[#This Row],[Disc %]]/100</f>
        <v>0</v>
      </c>
      <c r="Z176" s="1">
        <f>urbanthreads_q4[[#This Row],[Total]]-urbanthreads_q4[[#This Row],[Disc %]]</f>
        <v>2399</v>
      </c>
      <c r="AA176" s="1">
        <f>urbanthreads_q4[[#This Row],[Net revenue]]/urbanthreads_q4[[#This Row],[Total]]</f>
        <v>1</v>
      </c>
      <c r="AB176" s="1" t="str">
        <f>TEXT(urbanthreads_q4[[#This Row],[Order Date]],"mm-yyyy")</f>
        <v>11-2024</v>
      </c>
      <c r="AC176" s="1" t="str">
        <f>YEAR(urbanthreads_q4[[#This Row],[Order Date]]) &amp; "-W" &amp; WEEKNUM(urbanthreads_q4[[#This Row],[Order Date]], 2)</f>
        <v>2024-W47</v>
      </c>
      <c r="AD176" s="1" t="str">
        <f>IF(urbanthreads_q4[[#This Row],[Payment]]="COD","COD","Prepaid")</f>
        <v>COD</v>
      </c>
    </row>
    <row r="177" spans="1:30" x14ac:dyDescent="0.3">
      <c r="A177" s="1" t="s">
        <v>791</v>
      </c>
      <c r="B177" s="2">
        <v>45610</v>
      </c>
      <c r="C177" s="1" t="s">
        <v>792</v>
      </c>
      <c r="D177" s="1" t="s">
        <v>25</v>
      </c>
      <c r="E177" s="1" t="s">
        <v>793</v>
      </c>
      <c r="F177" s="1" t="s">
        <v>27</v>
      </c>
      <c r="G177" s="1" t="s">
        <v>794</v>
      </c>
      <c r="H177">
        <v>1699</v>
      </c>
      <c r="I177">
        <v>1</v>
      </c>
      <c r="J177">
        <v>1699</v>
      </c>
      <c r="K177" s="1" t="s">
        <v>29</v>
      </c>
      <c r="L177">
        <v>0</v>
      </c>
      <c r="M177" s="1" t="s">
        <v>30</v>
      </c>
      <c r="N177" s="1" t="s">
        <v>45</v>
      </c>
      <c r="O177" s="1" t="s">
        <v>78</v>
      </c>
      <c r="P177" s="1" t="s">
        <v>79</v>
      </c>
      <c r="Q177" s="1" t="s">
        <v>57</v>
      </c>
      <c r="R177" s="2">
        <v>45624</v>
      </c>
      <c r="S177" s="1" t="s">
        <v>34</v>
      </c>
      <c r="T177" s="1" t="s">
        <v>35</v>
      </c>
      <c r="U177" s="1" t="s">
        <v>29</v>
      </c>
      <c r="W177" s="1" t="s">
        <v>36</v>
      </c>
      <c r="X177" s="1" t="str">
        <f>IF(urbanthreads_q4[[#This Row],[Qty]]&gt;0,"Valid","Invalid")</f>
        <v>Valid</v>
      </c>
      <c r="Y177" s="1">
        <f>urbanthreads_q4[[#This Row],[Total]]*urbanthreads_q4[[#This Row],[Disc %]]/100</f>
        <v>0</v>
      </c>
      <c r="Z177" s="1">
        <f>urbanthreads_q4[[#This Row],[Total]]-urbanthreads_q4[[#This Row],[Disc %]]</f>
        <v>1699</v>
      </c>
      <c r="AA177" s="1">
        <f>urbanthreads_q4[[#This Row],[Net revenue]]/urbanthreads_q4[[#This Row],[Total]]</f>
        <v>1</v>
      </c>
      <c r="AB177" s="1" t="str">
        <f>TEXT(urbanthreads_q4[[#This Row],[Order Date]],"mm-yyyy")</f>
        <v>11-2024</v>
      </c>
      <c r="AC177" s="1" t="str">
        <f>YEAR(urbanthreads_q4[[#This Row],[Order Date]]) &amp; "-W" &amp; WEEKNUM(urbanthreads_q4[[#This Row],[Order Date]], 2)</f>
        <v>2024-W46</v>
      </c>
      <c r="AD177" s="1" t="str">
        <f>IF(urbanthreads_q4[[#This Row],[Payment]]="COD","COD","Prepaid")</f>
        <v>Prepaid</v>
      </c>
    </row>
    <row r="178" spans="1:30" x14ac:dyDescent="0.3">
      <c r="A178" s="1" t="s">
        <v>903</v>
      </c>
      <c r="B178" s="2">
        <v>45619</v>
      </c>
      <c r="C178" s="1" t="s">
        <v>904</v>
      </c>
      <c r="D178" s="1" t="s">
        <v>25</v>
      </c>
      <c r="E178" s="1" t="s">
        <v>905</v>
      </c>
      <c r="F178" s="1" t="s">
        <v>62</v>
      </c>
      <c r="G178" s="1" t="s">
        <v>906</v>
      </c>
      <c r="H178">
        <v>6799</v>
      </c>
      <c r="I178">
        <v>1</v>
      </c>
      <c r="J178">
        <v>6799</v>
      </c>
      <c r="K178" s="1" t="s">
        <v>29</v>
      </c>
      <c r="L178">
        <v>0</v>
      </c>
      <c r="M178" s="1" t="s">
        <v>30</v>
      </c>
      <c r="N178" s="1" t="s">
        <v>66</v>
      </c>
      <c r="O178" s="1" t="s">
        <v>78</v>
      </c>
      <c r="P178" s="1" t="s">
        <v>79</v>
      </c>
      <c r="Q178" s="1" t="s">
        <v>57</v>
      </c>
      <c r="R178" s="2">
        <v>45636</v>
      </c>
      <c r="S178" s="1" t="s">
        <v>34</v>
      </c>
      <c r="T178" s="1" t="s">
        <v>47</v>
      </c>
      <c r="U178" s="1" t="s">
        <v>48</v>
      </c>
      <c r="V178" s="2">
        <v>45665</v>
      </c>
      <c r="W178" s="1" t="s">
        <v>49</v>
      </c>
      <c r="X178" s="1" t="str">
        <f>IF(urbanthreads_q4[[#This Row],[Qty]]&gt;0,"Valid","Invalid")</f>
        <v>Valid</v>
      </c>
      <c r="Y178" s="1">
        <f>urbanthreads_q4[[#This Row],[Total]]*urbanthreads_q4[[#This Row],[Disc %]]/100</f>
        <v>0</v>
      </c>
      <c r="Z178" s="1">
        <f>urbanthreads_q4[[#This Row],[Total]]-urbanthreads_q4[[#This Row],[Disc %]]</f>
        <v>6799</v>
      </c>
      <c r="AA178" s="1">
        <f>urbanthreads_q4[[#This Row],[Net revenue]]/urbanthreads_q4[[#This Row],[Total]]</f>
        <v>1</v>
      </c>
      <c r="AB178" s="1" t="str">
        <f>TEXT(urbanthreads_q4[[#This Row],[Order Date]],"mm-yyyy")</f>
        <v>11-2024</v>
      </c>
      <c r="AC178" s="1" t="str">
        <f>YEAR(urbanthreads_q4[[#This Row],[Order Date]]) &amp; "-W" &amp; WEEKNUM(urbanthreads_q4[[#This Row],[Order Date]], 2)</f>
        <v>2024-W47</v>
      </c>
      <c r="AD178" s="1" t="str">
        <f>IF(urbanthreads_q4[[#This Row],[Payment]]="COD","COD","Prepaid")</f>
        <v>Prepaid</v>
      </c>
    </row>
    <row r="179" spans="1:30" x14ac:dyDescent="0.3">
      <c r="A179" s="1" t="s">
        <v>799</v>
      </c>
      <c r="B179" s="2">
        <v>45611</v>
      </c>
      <c r="C179" s="1" t="s">
        <v>800</v>
      </c>
      <c r="D179" s="1" t="s">
        <v>39</v>
      </c>
      <c r="E179" s="1" t="s">
        <v>801</v>
      </c>
      <c r="F179" s="1" t="s">
        <v>54</v>
      </c>
      <c r="G179" s="1" t="s">
        <v>802</v>
      </c>
      <c r="H179">
        <v>2099</v>
      </c>
      <c r="I179">
        <v>1</v>
      </c>
      <c r="J179">
        <v>2099</v>
      </c>
      <c r="K179" s="1" t="s">
        <v>29</v>
      </c>
      <c r="L179">
        <v>0</v>
      </c>
      <c r="M179" s="1" t="s">
        <v>44</v>
      </c>
      <c r="N179" s="1" t="s">
        <v>31</v>
      </c>
      <c r="O179" s="1" t="s">
        <v>97</v>
      </c>
      <c r="P179" s="1" t="s">
        <v>98</v>
      </c>
      <c r="Q179" s="1" t="s">
        <v>32</v>
      </c>
      <c r="R179" s="2">
        <v>45624</v>
      </c>
      <c r="S179" s="1" t="s">
        <v>34</v>
      </c>
      <c r="T179" s="1" t="s">
        <v>35</v>
      </c>
      <c r="U179" s="1" t="s">
        <v>29</v>
      </c>
      <c r="W179" s="1" t="s">
        <v>36</v>
      </c>
      <c r="X179" s="1" t="str">
        <f>IF(urbanthreads_q4[[#This Row],[Qty]]&gt;0,"Valid","Invalid")</f>
        <v>Valid</v>
      </c>
      <c r="Y179" s="1">
        <f>urbanthreads_q4[[#This Row],[Total]]*urbanthreads_q4[[#This Row],[Disc %]]/100</f>
        <v>0</v>
      </c>
      <c r="Z179" s="1">
        <f>urbanthreads_q4[[#This Row],[Total]]-urbanthreads_q4[[#This Row],[Disc %]]</f>
        <v>2099</v>
      </c>
      <c r="AA179" s="1">
        <f>urbanthreads_q4[[#This Row],[Net revenue]]/urbanthreads_q4[[#This Row],[Total]]</f>
        <v>1</v>
      </c>
      <c r="AB179" s="1" t="str">
        <f>TEXT(urbanthreads_q4[[#This Row],[Order Date]],"mm-yyyy")</f>
        <v>11-2024</v>
      </c>
      <c r="AC179" s="1" t="str">
        <f>YEAR(urbanthreads_q4[[#This Row],[Order Date]]) &amp; "-W" &amp; WEEKNUM(urbanthreads_q4[[#This Row],[Order Date]], 2)</f>
        <v>2024-W46</v>
      </c>
      <c r="AD179" s="1" t="str">
        <f>IF(urbanthreads_q4[[#This Row],[Payment]]="COD","COD","Prepaid")</f>
        <v>Prepaid</v>
      </c>
    </row>
    <row r="180" spans="1:30" x14ac:dyDescent="0.3">
      <c r="A180" s="1" t="s">
        <v>911</v>
      </c>
      <c r="B180" s="2">
        <v>45620</v>
      </c>
      <c r="C180" s="1" t="s">
        <v>912</v>
      </c>
      <c r="D180" s="1" t="s">
        <v>25</v>
      </c>
      <c r="E180" s="1" t="s">
        <v>913</v>
      </c>
      <c r="F180" s="1" t="s">
        <v>27</v>
      </c>
      <c r="G180" s="1" t="s">
        <v>914</v>
      </c>
      <c r="H180">
        <v>2299</v>
      </c>
      <c r="I180">
        <v>1</v>
      </c>
      <c r="J180">
        <v>2299</v>
      </c>
      <c r="K180" s="1" t="s">
        <v>29</v>
      </c>
      <c r="L180">
        <v>0</v>
      </c>
      <c r="M180" s="1" t="s">
        <v>65</v>
      </c>
      <c r="N180" s="1" t="s">
        <v>45</v>
      </c>
      <c r="O180" s="1" t="s">
        <v>97</v>
      </c>
      <c r="P180" s="1" t="s">
        <v>98</v>
      </c>
      <c r="Q180" s="1" t="s">
        <v>32</v>
      </c>
      <c r="R180" s="2">
        <v>45635</v>
      </c>
      <c r="S180" s="1" t="s">
        <v>34</v>
      </c>
      <c r="T180" s="1" t="s">
        <v>47</v>
      </c>
      <c r="U180" s="1" t="s">
        <v>105</v>
      </c>
      <c r="V180" s="2">
        <v>45664</v>
      </c>
      <c r="W180" s="1" t="s">
        <v>49</v>
      </c>
      <c r="X180" s="1" t="str">
        <f>IF(urbanthreads_q4[[#This Row],[Qty]]&gt;0,"Valid","Invalid")</f>
        <v>Valid</v>
      </c>
      <c r="Y180" s="1">
        <f>urbanthreads_q4[[#This Row],[Total]]*urbanthreads_q4[[#This Row],[Disc %]]/100</f>
        <v>0</v>
      </c>
      <c r="Z180" s="1">
        <f>urbanthreads_q4[[#This Row],[Total]]-urbanthreads_q4[[#This Row],[Disc %]]</f>
        <v>2299</v>
      </c>
      <c r="AA180" s="1">
        <f>urbanthreads_q4[[#This Row],[Net revenue]]/urbanthreads_q4[[#This Row],[Total]]</f>
        <v>1</v>
      </c>
      <c r="AB180" s="1" t="str">
        <f>TEXT(urbanthreads_q4[[#This Row],[Order Date]],"mm-yyyy")</f>
        <v>11-2024</v>
      </c>
      <c r="AC180" s="1" t="str">
        <f>YEAR(urbanthreads_q4[[#This Row],[Order Date]]) &amp; "-W" &amp; WEEKNUM(urbanthreads_q4[[#This Row],[Order Date]], 2)</f>
        <v>2024-W47</v>
      </c>
      <c r="AD180" s="1" t="str">
        <f>IF(urbanthreads_q4[[#This Row],[Payment]]="COD","COD","Prepaid")</f>
        <v>Prepaid</v>
      </c>
    </row>
    <row r="181" spans="1:30" x14ac:dyDescent="0.3">
      <c r="A181" s="1" t="s">
        <v>752</v>
      </c>
      <c r="B181" s="2">
        <v>45607</v>
      </c>
      <c r="C181" s="1" t="s">
        <v>753</v>
      </c>
      <c r="D181" s="1" t="s">
        <v>25</v>
      </c>
      <c r="E181" s="1" t="s">
        <v>499</v>
      </c>
      <c r="F181" s="1" t="s">
        <v>27</v>
      </c>
      <c r="G181" s="1" t="s">
        <v>754</v>
      </c>
      <c r="H181">
        <v>1599</v>
      </c>
      <c r="I181">
        <v>1</v>
      </c>
      <c r="J181">
        <v>1599</v>
      </c>
      <c r="K181" s="1" t="s">
        <v>703</v>
      </c>
      <c r="L181">
        <v>15</v>
      </c>
      <c r="M181" s="1" t="s">
        <v>44</v>
      </c>
      <c r="N181" s="1" t="s">
        <v>31</v>
      </c>
      <c r="O181" s="1" t="s">
        <v>188</v>
      </c>
      <c r="P181" s="1" t="s">
        <v>189</v>
      </c>
      <c r="Q181" s="1" t="s">
        <v>57</v>
      </c>
      <c r="R181" s="2">
        <v>45620</v>
      </c>
      <c r="S181" s="1" t="s">
        <v>34</v>
      </c>
      <c r="T181" s="1" t="s">
        <v>47</v>
      </c>
      <c r="U181" s="1" t="s">
        <v>48</v>
      </c>
      <c r="V181" s="2">
        <v>45649</v>
      </c>
      <c r="W181" s="1" t="s">
        <v>49</v>
      </c>
      <c r="X181" s="1" t="str">
        <f>IF(urbanthreads_q4[[#This Row],[Qty]]&gt;0,"Valid","Invalid")</f>
        <v>Valid</v>
      </c>
      <c r="Y181" s="1">
        <f>urbanthreads_q4[[#This Row],[Total]]*urbanthreads_q4[[#This Row],[Disc %]]/100</f>
        <v>239.85</v>
      </c>
      <c r="Z181" s="1">
        <f>urbanthreads_q4[[#This Row],[Total]]-urbanthreads_q4[[#This Row],[Disc %]]</f>
        <v>1584</v>
      </c>
      <c r="AA181" s="1">
        <f>urbanthreads_q4[[#This Row],[Net revenue]]/urbanthreads_q4[[#This Row],[Total]]</f>
        <v>0.99061913696060033</v>
      </c>
      <c r="AB181" s="1" t="str">
        <f>TEXT(urbanthreads_q4[[#This Row],[Order Date]],"mm-yyyy")</f>
        <v>11-2024</v>
      </c>
      <c r="AC181" s="1" t="str">
        <f>YEAR(urbanthreads_q4[[#This Row],[Order Date]]) &amp; "-W" &amp; WEEKNUM(urbanthreads_q4[[#This Row],[Order Date]], 2)</f>
        <v>2024-W46</v>
      </c>
      <c r="AD181" s="1" t="str">
        <f>IF(urbanthreads_q4[[#This Row],[Payment]]="COD","COD","Prepaid")</f>
        <v>Prepaid</v>
      </c>
    </row>
    <row r="182" spans="1:30" x14ac:dyDescent="0.3">
      <c r="A182" s="1" t="s">
        <v>811</v>
      </c>
      <c r="B182" s="2">
        <v>45612</v>
      </c>
      <c r="C182" s="1" t="s">
        <v>812</v>
      </c>
      <c r="D182" s="1" t="s">
        <v>25</v>
      </c>
      <c r="E182" s="1" t="s">
        <v>813</v>
      </c>
      <c r="F182" s="1" t="s">
        <v>27</v>
      </c>
      <c r="G182" s="1" t="s">
        <v>814</v>
      </c>
      <c r="H182">
        <v>1499</v>
      </c>
      <c r="I182">
        <v>1</v>
      </c>
      <c r="J182">
        <v>1499</v>
      </c>
      <c r="K182" s="1" t="s">
        <v>703</v>
      </c>
      <c r="L182">
        <v>15</v>
      </c>
      <c r="M182" s="1" t="s">
        <v>112</v>
      </c>
      <c r="N182" s="1" t="s">
        <v>31</v>
      </c>
      <c r="O182" s="1" t="s">
        <v>57</v>
      </c>
      <c r="P182" s="1" t="s">
        <v>58</v>
      </c>
      <c r="Q182" s="1" t="s">
        <v>57</v>
      </c>
      <c r="R182" s="2">
        <v>45625</v>
      </c>
      <c r="S182" s="1" t="s">
        <v>34</v>
      </c>
      <c r="T182" s="1" t="s">
        <v>35</v>
      </c>
      <c r="U182" s="1" t="s">
        <v>29</v>
      </c>
      <c r="W182" s="1" t="s">
        <v>36</v>
      </c>
      <c r="X182" s="1" t="str">
        <f>IF(urbanthreads_q4[[#This Row],[Qty]]&gt;0,"Valid","Invalid")</f>
        <v>Valid</v>
      </c>
      <c r="Y182" s="1">
        <f>urbanthreads_q4[[#This Row],[Total]]*urbanthreads_q4[[#This Row],[Disc %]]/100</f>
        <v>224.85</v>
      </c>
      <c r="Z182" s="1">
        <f>urbanthreads_q4[[#This Row],[Total]]-urbanthreads_q4[[#This Row],[Disc %]]</f>
        <v>1484</v>
      </c>
      <c r="AA182" s="1">
        <f>urbanthreads_q4[[#This Row],[Net revenue]]/urbanthreads_q4[[#This Row],[Total]]</f>
        <v>0.98999332888592395</v>
      </c>
      <c r="AB182" s="1" t="str">
        <f>TEXT(urbanthreads_q4[[#This Row],[Order Date]],"mm-yyyy")</f>
        <v>11-2024</v>
      </c>
      <c r="AC182" s="1" t="str">
        <f>YEAR(urbanthreads_q4[[#This Row],[Order Date]]) &amp; "-W" &amp; WEEKNUM(urbanthreads_q4[[#This Row],[Order Date]], 2)</f>
        <v>2024-W46</v>
      </c>
      <c r="AD182" s="1" t="str">
        <f>IF(urbanthreads_q4[[#This Row],[Payment]]="COD","COD","Prepaid")</f>
        <v>Prepaid</v>
      </c>
    </row>
    <row r="183" spans="1:30" x14ac:dyDescent="0.3">
      <c r="A183" s="1" t="s">
        <v>755</v>
      </c>
      <c r="B183" s="2">
        <v>45607</v>
      </c>
      <c r="C183" s="1" t="s">
        <v>756</v>
      </c>
      <c r="D183" s="1" t="s">
        <v>25</v>
      </c>
      <c r="E183" s="1" t="s">
        <v>757</v>
      </c>
      <c r="F183" s="1" t="s">
        <v>41</v>
      </c>
      <c r="G183" s="1" t="s">
        <v>758</v>
      </c>
      <c r="H183">
        <v>2899</v>
      </c>
      <c r="I183">
        <v>1</v>
      </c>
      <c r="J183">
        <v>2899</v>
      </c>
      <c r="K183" s="1" t="s">
        <v>29</v>
      </c>
      <c r="L183">
        <v>0</v>
      </c>
      <c r="M183" s="1" t="s">
        <v>56</v>
      </c>
      <c r="N183" s="1" t="s">
        <v>45</v>
      </c>
      <c r="O183" s="1" t="s">
        <v>194</v>
      </c>
      <c r="P183" s="1" t="s">
        <v>183</v>
      </c>
      <c r="Q183" s="1" t="s">
        <v>57</v>
      </c>
      <c r="R183" s="2">
        <v>45622</v>
      </c>
      <c r="S183" s="1" t="s">
        <v>34</v>
      </c>
      <c r="T183" s="1" t="s">
        <v>47</v>
      </c>
      <c r="U183" s="1" t="s">
        <v>105</v>
      </c>
      <c r="V183" s="2">
        <v>45651</v>
      </c>
      <c r="W183" s="1" t="s">
        <v>49</v>
      </c>
      <c r="X183" s="1" t="str">
        <f>IF(urbanthreads_q4[[#This Row],[Qty]]&gt;0,"Valid","Invalid")</f>
        <v>Valid</v>
      </c>
      <c r="Y183" s="1">
        <f>urbanthreads_q4[[#This Row],[Total]]*urbanthreads_q4[[#This Row],[Disc %]]/100</f>
        <v>0</v>
      </c>
      <c r="Z183" s="1">
        <f>urbanthreads_q4[[#This Row],[Total]]-urbanthreads_q4[[#This Row],[Disc %]]</f>
        <v>2899</v>
      </c>
      <c r="AA183" s="1">
        <f>urbanthreads_q4[[#This Row],[Net revenue]]/urbanthreads_q4[[#This Row],[Total]]</f>
        <v>1</v>
      </c>
      <c r="AB183" s="1" t="str">
        <f>TEXT(urbanthreads_q4[[#This Row],[Order Date]],"mm-yyyy")</f>
        <v>11-2024</v>
      </c>
      <c r="AC183" s="1" t="str">
        <f>YEAR(urbanthreads_q4[[#This Row],[Order Date]]) &amp; "-W" &amp; WEEKNUM(urbanthreads_q4[[#This Row],[Order Date]], 2)</f>
        <v>2024-W46</v>
      </c>
      <c r="AD183" s="1" t="str">
        <f>IF(urbanthreads_q4[[#This Row],[Payment]]="COD","COD","Prepaid")</f>
        <v>COD</v>
      </c>
    </row>
    <row r="184" spans="1:30" x14ac:dyDescent="0.3">
      <c r="A184" s="1" t="s">
        <v>819</v>
      </c>
      <c r="B184" s="2">
        <v>45612</v>
      </c>
      <c r="C184" s="1" t="s">
        <v>820</v>
      </c>
      <c r="D184" s="1" t="s">
        <v>39</v>
      </c>
      <c r="E184" s="1" t="s">
        <v>821</v>
      </c>
      <c r="F184" s="1" t="s">
        <v>54</v>
      </c>
      <c r="G184" s="1" t="s">
        <v>822</v>
      </c>
      <c r="H184">
        <v>1899</v>
      </c>
      <c r="I184">
        <v>1</v>
      </c>
      <c r="J184">
        <v>1899</v>
      </c>
      <c r="K184" s="1" t="s">
        <v>29</v>
      </c>
      <c r="L184">
        <v>0</v>
      </c>
      <c r="M184" s="1" t="s">
        <v>44</v>
      </c>
      <c r="N184" s="1" t="s">
        <v>66</v>
      </c>
      <c r="O184" s="1" t="s">
        <v>46</v>
      </c>
      <c r="P184" s="1" t="s">
        <v>46</v>
      </c>
      <c r="Q184" s="1" t="s">
        <v>46</v>
      </c>
      <c r="R184" s="2">
        <v>45625</v>
      </c>
      <c r="S184" s="1" t="s">
        <v>34</v>
      </c>
      <c r="T184" s="1" t="s">
        <v>35</v>
      </c>
      <c r="U184" s="1" t="s">
        <v>29</v>
      </c>
      <c r="W184" s="1" t="s">
        <v>36</v>
      </c>
      <c r="X184" s="1" t="str">
        <f>IF(urbanthreads_q4[[#This Row],[Qty]]&gt;0,"Valid","Invalid")</f>
        <v>Valid</v>
      </c>
      <c r="Y184" s="1">
        <f>urbanthreads_q4[[#This Row],[Total]]*urbanthreads_q4[[#This Row],[Disc %]]/100</f>
        <v>0</v>
      </c>
      <c r="Z184" s="1">
        <f>urbanthreads_q4[[#This Row],[Total]]-urbanthreads_q4[[#This Row],[Disc %]]</f>
        <v>1899</v>
      </c>
      <c r="AA184" s="1">
        <f>urbanthreads_q4[[#This Row],[Net revenue]]/urbanthreads_q4[[#This Row],[Total]]</f>
        <v>1</v>
      </c>
      <c r="AB184" s="1" t="str">
        <f>TEXT(urbanthreads_q4[[#This Row],[Order Date]],"mm-yyyy")</f>
        <v>11-2024</v>
      </c>
      <c r="AC184" s="1" t="str">
        <f>YEAR(urbanthreads_q4[[#This Row],[Order Date]]) &amp; "-W" &amp; WEEKNUM(urbanthreads_q4[[#This Row],[Order Date]], 2)</f>
        <v>2024-W46</v>
      </c>
      <c r="AD184" s="1" t="str">
        <f>IF(urbanthreads_q4[[#This Row],[Payment]]="COD","COD","Prepaid")</f>
        <v>Prepaid</v>
      </c>
    </row>
    <row r="185" spans="1:30" x14ac:dyDescent="0.3">
      <c r="A185" s="1" t="s">
        <v>763</v>
      </c>
      <c r="B185" s="2">
        <v>45608</v>
      </c>
      <c r="C185" s="1" t="s">
        <v>764</v>
      </c>
      <c r="D185" s="1" t="s">
        <v>25</v>
      </c>
      <c r="E185" s="1" t="s">
        <v>765</v>
      </c>
      <c r="F185" s="1" t="s">
        <v>62</v>
      </c>
      <c r="G185" s="1" t="s">
        <v>766</v>
      </c>
      <c r="H185">
        <v>5599</v>
      </c>
      <c r="I185">
        <v>1</v>
      </c>
      <c r="J185">
        <v>5599</v>
      </c>
      <c r="K185" s="1" t="s">
        <v>29</v>
      </c>
      <c r="L185">
        <v>0</v>
      </c>
      <c r="M185" s="1" t="s">
        <v>44</v>
      </c>
      <c r="N185" s="1" t="s">
        <v>31</v>
      </c>
      <c r="O185" s="1" t="s">
        <v>204</v>
      </c>
      <c r="P185" s="1" t="s">
        <v>98</v>
      </c>
      <c r="Q185" s="1" t="s">
        <v>32</v>
      </c>
      <c r="R185" s="2">
        <v>45623</v>
      </c>
      <c r="S185" s="1" t="s">
        <v>34</v>
      </c>
      <c r="T185" s="1" t="s">
        <v>47</v>
      </c>
      <c r="U185" s="1" t="s">
        <v>80</v>
      </c>
      <c r="V185" s="2">
        <v>45652</v>
      </c>
      <c r="W185" s="1" t="s">
        <v>49</v>
      </c>
      <c r="X185" s="1" t="str">
        <f>IF(urbanthreads_q4[[#This Row],[Qty]]&gt;0,"Valid","Invalid")</f>
        <v>Valid</v>
      </c>
      <c r="Y185" s="1">
        <f>urbanthreads_q4[[#This Row],[Total]]*urbanthreads_q4[[#This Row],[Disc %]]/100</f>
        <v>0</v>
      </c>
      <c r="Z185" s="1">
        <f>urbanthreads_q4[[#This Row],[Total]]-urbanthreads_q4[[#This Row],[Disc %]]</f>
        <v>5599</v>
      </c>
      <c r="AA185" s="1">
        <f>urbanthreads_q4[[#This Row],[Net revenue]]/urbanthreads_q4[[#This Row],[Total]]</f>
        <v>1</v>
      </c>
      <c r="AB185" s="1" t="str">
        <f>TEXT(urbanthreads_q4[[#This Row],[Order Date]],"mm-yyyy")</f>
        <v>11-2024</v>
      </c>
      <c r="AC185" s="1" t="str">
        <f>YEAR(urbanthreads_q4[[#This Row],[Order Date]]) &amp; "-W" &amp; WEEKNUM(urbanthreads_q4[[#This Row],[Order Date]], 2)</f>
        <v>2024-W46</v>
      </c>
      <c r="AD185" s="1" t="str">
        <f>IF(urbanthreads_q4[[#This Row],[Payment]]="COD","COD","Prepaid")</f>
        <v>Prepaid</v>
      </c>
    </row>
    <row r="186" spans="1:30" x14ac:dyDescent="0.3">
      <c r="A186" s="1" t="s">
        <v>827</v>
      </c>
      <c r="B186" s="2">
        <v>45613</v>
      </c>
      <c r="C186" s="1" t="s">
        <v>828</v>
      </c>
      <c r="D186" s="1" t="s">
        <v>25</v>
      </c>
      <c r="E186" s="1" t="s">
        <v>829</v>
      </c>
      <c r="F186" s="1" t="s">
        <v>72</v>
      </c>
      <c r="G186" s="1" t="s">
        <v>830</v>
      </c>
      <c r="H186">
        <v>1299</v>
      </c>
      <c r="I186">
        <v>1</v>
      </c>
      <c r="J186">
        <v>1299</v>
      </c>
      <c r="K186" s="1" t="s">
        <v>703</v>
      </c>
      <c r="L186">
        <v>15</v>
      </c>
      <c r="M186" s="1" t="s">
        <v>56</v>
      </c>
      <c r="N186" s="1" t="s">
        <v>45</v>
      </c>
      <c r="O186" s="1" t="s">
        <v>138</v>
      </c>
      <c r="P186" s="1" t="s">
        <v>114</v>
      </c>
      <c r="Q186" s="1" t="s">
        <v>46</v>
      </c>
      <c r="R186" s="2">
        <v>45626</v>
      </c>
      <c r="S186" s="1" t="s">
        <v>34</v>
      </c>
      <c r="T186" s="1" t="s">
        <v>35</v>
      </c>
      <c r="U186" s="1" t="s">
        <v>29</v>
      </c>
      <c r="W186" s="1" t="s">
        <v>36</v>
      </c>
      <c r="X186" s="1" t="str">
        <f>IF(urbanthreads_q4[[#This Row],[Qty]]&gt;0,"Valid","Invalid")</f>
        <v>Valid</v>
      </c>
      <c r="Y186" s="1">
        <f>urbanthreads_q4[[#This Row],[Total]]*urbanthreads_q4[[#This Row],[Disc %]]/100</f>
        <v>194.85</v>
      </c>
      <c r="Z186" s="1">
        <f>urbanthreads_q4[[#This Row],[Total]]-urbanthreads_q4[[#This Row],[Disc %]]</f>
        <v>1284</v>
      </c>
      <c r="AA186" s="1">
        <f>urbanthreads_q4[[#This Row],[Net revenue]]/urbanthreads_q4[[#This Row],[Total]]</f>
        <v>0.98845265588914555</v>
      </c>
      <c r="AB186" s="1" t="str">
        <f>TEXT(urbanthreads_q4[[#This Row],[Order Date]],"mm-yyyy")</f>
        <v>11-2024</v>
      </c>
      <c r="AC186" s="1" t="str">
        <f>YEAR(urbanthreads_q4[[#This Row],[Order Date]]) &amp; "-W" &amp; WEEKNUM(urbanthreads_q4[[#This Row],[Order Date]], 2)</f>
        <v>2024-W46</v>
      </c>
      <c r="AD186" s="1" t="str">
        <f>IF(urbanthreads_q4[[#This Row],[Payment]]="COD","COD","Prepaid")</f>
        <v>COD</v>
      </c>
    </row>
    <row r="187" spans="1:30" x14ac:dyDescent="0.3">
      <c r="A187" s="1" t="s">
        <v>771</v>
      </c>
      <c r="B187" s="2">
        <v>45608</v>
      </c>
      <c r="C187" s="1" t="s">
        <v>772</v>
      </c>
      <c r="D187" s="1" t="s">
        <v>25</v>
      </c>
      <c r="E187" s="1" t="s">
        <v>773</v>
      </c>
      <c r="F187" s="1" t="s">
        <v>27</v>
      </c>
      <c r="G187" s="1" t="s">
        <v>774</v>
      </c>
      <c r="H187">
        <v>1899</v>
      </c>
      <c r="I187">
        <v>1</v>
      </c>
      <c r="J187">
        <v>1899</v>
      </c>
      <c r="K187" s="1" t="s">
        <v>29</v>
      </c>
      <c r="L187">
        <v>0</v>
      </c>
      <c r="M187" s="1" t="s">
        <v>65</v>
      </c>
      <c r="N187" s="1" t="s">
        <v>66</v>
      </c>
      <c r="O187" s="1" t="s">
        <v>214</v>
      </c>
      <c r="P187" s="1" t="s">
        <v>114</v>
      </c>
      <c r="Q187" s="1" t="s">
        <v>46</v>
      </c>
      <c r="R187" s="2">
        <v>45622</v>
      </c>
      <c r="S187" s="1" t="s">
        <v>34</v>
      </c>
      <c r="T187" s="1" t="s">
        <v>47</v>
      </c>
      <c r="U187" s="1" t="s">
        <v>69</v>
      </c>
      <c r="V187" s="2">
        <v>45650</v>
      </c>
      <c r="W187" s="1" t="s">
        <v>49</v>
      </c>
      <c r="X187" s="1" t="str">
        <f>IF(urbanthreads_q4[[#This Row],[Qty]]&gt;0,"Valid","Invalid")</f>
        <v>Valid</v>
      </c>
      <c r="Y187" s="1">
        <f>urbanthreads_q4[[#This Row],[Total]]*urbanthreads_q4[[#This Row],[Disc %]]/100</f>
        <v>0</v>
      </c>
      <c r="Z187" s="1">
        <f>urbanthreads_q4[[#This Row],[Total]]-urbanthreads_q4[[#This Row],[Disc %]]</f>
        <v>1899</v>
      </c>
      <c r="AA187" s="1">
        <f>urbanthreads_q4[[#This Row],[Net revenue]]/urbanthreads_q4[[#This Row],[Total]]</f>
        <v>1</v>
      </c>
      <c r="AB187" s="1" t="str">
        <f>TEXT(urbanthreads_q4[[#This Row],[Order Date]],"mm-yyyy")</f>
        <v>11-2024</v>
      </c>
      <c r="AC187" s="1" t="str">
        <f>YEAR(urbanthreads_q4[[#This Row],[Order Date]]) &amp; "-W" &amp; WEEKNUM(urbanthreads_q4[[#This Row],[Order Date]], 2)</f>
        <v>2024-W46</v>
      </c>
      <c r="AD187" s="1" t="str">
        <f>IF(urbanthreads_q4[[#This Row],[Payment]]="COD","COD","Prepaid")</f>
        <v>Prepaid</v>
      </c>
    </row>
    <row r="188" spans="1:30" x14ac:dyDescent="0.3">
      <c r="A188" s="1" t="s">
        <v>835</v>
      </c>
      <c r="B188" s="2">
        <v>45614</v>
      </c>
      <c r="C188" s="1" t="s">
        <v>836</v>
      </c>
      <c r="D188" s="1" t="s">
        <v>25</v>
      </c>
      <c r="E188" s="1" t="s">
        <v>837</v>
      </c>
      <c r="F188" s="1" t="s">
        <v>41</v>
      </c>
      <c r="G188" s="1" t="s">
        <v>838</v>
      </c>
      <c r="H188">
        <v>3799</v>
      </c>
      <c r="I188">
        <v>1</v>
      </c>
      <c r="J188">
        <v>3799</v>
      </c>
      <c r="K188" s="1" t="s">
        <v>29</v>
      </c>
      <c r="L188">
        <v>0</v>
      </c>
      <c r="M188" s="1" t="s">
        <v>112</v>
      </c>
      <c r="N188" s="1" t="s">
        <v>31</v>
      </c>
      <c r="O188" s="1" t="s">
        <v>150</v>
      </c>
      <c r="P188" s="1" t="s">
        <v>151</v>
      </c>
      <c r="Q188" s="1" t="s">
        <v>32</v>
      </c>
      <c r="R188" s="2">
        <v>45629</v>
      </c>
      <c r="S188" s="1" t="s">
        <v>34</v>
      </c>
      <c r="T188" s="1" t="s">
        <v>35</v>
      </c>
      <c r="U188" s="1" t="s">
        <v>29</v>
      </c>
      <c r="W188" s="1" t="s">
        <v>36</v>
      </c>
      <c r="X188" s="1" t="str">
        <f>IF(urbanthreads_q4[[#This Row],[Qty]]&gt;0,"Valid","Invalid")</f>
        <v>Valid</v>
      </c>
      <c r="Y188" s="1">
        <f>urbanthreads_q4[[#This Row],[Total]]*urbanthreads_q4[[#This Row],[Disc %]]/100</f>
        <v>0</v>
      </c>
      <c r="Z188" s="1">
        <f>urbanthreads_q4[[#This Row],[Total]]-urbanthreads_q4[[#This Row],[Disc %]]</f>
        <v>3799</v>
      </c>
      <c r="AA188" s="1">
        <f>urbanthreads_q4[[#This Row],[Net revenue]]/urbanthreads_q4[[#This Row],[Total]]</f>
        <v>1</v>
      </c>
      <c r="AB188" s="1" t="str">
        <f>TEXT(urbanthreads_q4[[#This Row],[Order Date]],"mm-yyyy")</f>
        <v>11-2024</v>
      </c>
      <c r="AC188" s="1" t="str">
        <f>YEAR(urbanthreads_q4[[#This Row],[Order Date]]) &amp; "-W" &amp; WEEKNUM(urbanthreads_q4[[#This Row],[Order Date]], 2)</f>
        <v>2024-W47</v>
      </c>
      <c r="AD188" s="1" t="str">
        <f>IF(urbanthreads_q4[[#This Row],[Payment]]="COD","COD","Prepaid")</f>
        <v>Prepaid</v>
      </c>
    </row>
    <row r="189" spans="1:30" x14ac:dyDescent="0.3">
      <c r="A189" s="1" t="s">
        <v>779</v>
      </c>
      <c r="B189" s="2">
        <v>45609</v>
      </c>
      <c r="C189" s="1" t="s">
        <v>780</v>
      </c>
      <c r="D189" s="1" t="s">
        <v>39</v>
      </c>
      <c r="E189" s="1" t="s">
        <v>781</v>
      </c>
      <c r="F189" s="1" t="s">
        <v>54</v>
      </c>
      <c r="G189" s="1" t="s">
        <v>782</v>
      </c>
      <c r="H189">
        <v>2499</v>
      </c>
      <c r="I189">
        <v>1</v>
      </c>
      <c r="J189">
        <v>2499</v>
      </c>
      <c r="K189" s="1" t="s">
        <v>703</v>
      </c>
      <c r="L189">
        <v>15</v>
      </c>
      <c r="M189" s="1" t="s">
        <v>44</v>
      </c>
      <c r="N189" s="1" t="s">
        <v>45</v>
      </c>
      <c r="O189" s="1" t="s">
        <v>46</v>
      </c>
      <c r="P189" s="1" t="s">
        <v>46</v>
      </c>
      <c r="Q189" s="1" t="s">
        <v>46</v>
      </c>
      <c r="R189" s="2">
        <v>45622</v>
      </c>
      <c r="S189" s="1" t="s">
        <v>34</v>
      </c>
      <c r="T189" s="1" t="s">
        <v>47</v>
      </c>
      <c r="U189" s="1" t="s">
        <v>48</v>
      </c>
      <c r="V189" s="2">
        <v>45651</v>
      </c>
      <c r="W189" s="1" t="s">
        <v>49</v>
      </c>
      <c r="X189" s="1" t="str">
        <f>IF(urbanthreads_q4[[#This Row],[Qty]]&gt;0,"Valid","Invalid")</f>
        <v>Valid</v>
      </c>
      <c r="Y189" s="1">
        <f>urbanthreads_q4[[#This Row],[Total]]*urbanthreads_q4[[#This Row],[Disc %]]/100</f>
        <v>374.85</v>
      </c>
      <c r="Z189" s="1">
        <f>urbanthreads_q4[[#This Row],[Total]]-urbanthreads_q4[[#This Row],[Disc %]]</f>
        <v>2484</v>
      </c>
      <c r="AA189" s="1">
        <f>urbanthreads_q4[[#This Row],[Net revenue]]/urbanthreads_q4[[#This Row],[Total]]</f>
        <v>0.99399759903961582</v>
      </c>
      <c r="AB189" s="1" t="str">
        <f>TEXT(urbanthreads_q4[[#This Row],[Order Date]],"mm-yyyy")</f>
        <v>11-2024</v>
      </c>
      <c r="AC189" s="1" t="str">
        <f>YEAR(urbanthreads_q4[[#This Row],[Order Date]]) &amp; "-W" &amp; WEEKNUM(urbanthreads_q4[[#This Row],[Order Date]], 2)</f>
        <v>2024-W46</v>
      </c>
      <c r="AD189" s="1" t="str">
        <f>IF(urbanthreads_q4[[#This Row],[Payment]]="COD","COD","Prepaid")</f>
        <v>Prepaid</v>
      </c>
    </row>
    <row r="190" spans="1:30" x14ac:dyDescent="0.3">
      <c r="A190" s="1" t="s">
        <v>787</v>
      </c>
      <c r="B190" s="2">
        <v>45610</v>
      </c>
      <c r="C190" s="1" t="s">
        <v>788</v>
      </c>
      <c r="D190" s="1" t="s">
        <v>25</v>
      </c>
      <c r="E190" s="1" t="s">
        <v>789</v>
      </c>
      <c r="F190" s="1" t="s">
        <v>72</v>
      </c>
      <c r="G190" s="1" t="s">
        <v>790</v>
      </c>
      <c r="H190">
        <v>1599</v>
      </c>
      <c r="I190">
        <v>1</v>
      </c>
      <c r="J190">
        <v>1599</v>
      </c>
      <c r="K190" s="1" t="s">
        <v>29</v>
      </c>
      <c r="L190">
        <v>0</v>
      </c>
      <c r="M190" s="1" t="s">
        <v>112</v>
      </c>
      <c r="N190" s="1" t="s">
        <v>31</v>
      </c>
      <c r="O190" s="1" t="s">
        <v>67</v>
      </c>
      <c r="P190" s="1" t="s">
        <v>68</v>
      </c>
      <c r="Q190" s="1" t="s">
        <v>57</v>
      </c>
      <c r="R190" s="2">
        <v>45623</v>
      </c>
      <c r="S190" s="1" t="s">
        <v>34</v>
      </c>
      <c r="T190" s="1" t="s">
        <v>47</v>
      </c>
      <c r="U190" s="1" t="s">
        <v>139</v>
      </c>
      <c r="V190" s="2">
        <v>45652</v>
      </c>
      <c r="W190" s="1" t="s">
        <v>49</v>
      </c>
      <c r="X190" s="1" t="str">
        <f>IF(urbanthreads_q4[[#This Row],[Qty]]&gt;0,"Valid","Invalid")</f>
        <v>Valid</v>
      </c>
      <c r="Y190" s="1">
        <f>urbanthreads_q4[[#This Row],[Total]]*urbanthreads_q4[[#This Row],[Disc %]]/100</f>
        <v>0</v>
      </c>
      <c r="Z190" s="1">
        <f>urbanthreads_q4[[#This Row],[Total]]-urbanthreads_q4[[#This Row],[Disc %]]</f>
        <v>1599</v>
      </c>
      <c r="AA190" s="1">
        <f>urbanthreads_q4[[#This Row],[Net revenue]]/urbanthreads_q4[[#This Row],[Total]]</f>
        <v>1</v>
      </c>
      <c r="AB190" s="1" t="str">
        <f>TEXT(urbanthreads_q4[[#This Row],[Order Date]],"mm-yyyy")</f>
        <v>11-2024</v>
      </c>
      <c r="AC190" s="1" t="str">
        <f>YEAR(urbanthreads_q4[[#This Row],[Order Date]]) &amp; "-W" &amp; WEEKNUM(urbanthreads_q4[[#This Row],[Order Date]], 2)</f>
        <v>2024-W46</v>
      </c>
      <c r="AD190" s="1" t="str">
        <f>IF(urbanthreads_q4[[#This Row],[Payment]]="COD","COD","Prepaid")</f>
        <v>Prepaid</v>
      </c>
    </row>
    <row r="191" spans="1:30" x14ac:dyDescent="0.3">
      <c r="A191" s="1" t="s">
        <v>847</v>
      </c>
      <c r="B191" s="2">
        <v>45615</v>
      </c>
      <c r="C191" s="1" t="s">
        <v>848</v>
      </c>
      <c r="D191" s="1" t="s">
        <v>25</v>
      </c>
      <c r="E191" s="1" t="s">
        <v>849</v>
      </c>
      <c r="F191" s="1" t="s">
        <v>72</v>
      </c>
      <c r="G191" s="1" t="s">
        <v>850</v>
      </c>
      <c r="H191">
        <v>499</v>
      </c>
      <c r="I191">
        <v>2</v>
      </c>
      <c r="J191">
        <v>998</v>
      </c>
      <c r="K191" s="1" t="s">
        <v>29</v>
      </c>
      <c r="L191">
        <v>0</v>
      </c>
      <c r="M191" s="1" t="s">
        <v>44</v>
      </c>
      <c r="N191" s="1" t="s">
        <v>31</v>
      </c>
      <c r="O191" s="1" t="s">
        <v>167</v>
      </c>
      <c r="P191" s="1" t="s">
        <v>151</v>
      </c>
      <c r="Q191" s="1" t="s">
        <v>32</v>
      </c>
      <c r="R191" s="2">
        <v>45628</v>
      </c>
      <c r="S191" s="1" t="s">
        <v>34</v>
      </c>
      <c r="T191" s="1" t="s">
        <v>35</v>
      </c>
      <c r="U191" s="1" t="s">
        <v>29</v>
      </c>
      <c r="W191" s="1" t="s">
        <v>36</v>
      </c>
      <c r="X191" s="1" t="str">
        <f>IF(urbanthreads_q4[[#This Row],[Qty]]&gt;0,"Valid","Invalid")</f>
        <v>Valid</v>
      </c>
      <c r="Y191" s="1">
        <f>urbanthreads_q4[[#This Row],[Total]]*urbanthreads_q4[[#This Row],[Disc %]]/100</f>
        <v>0</v>
      </c>
      <c r="Z191" s="1">
        <f>urbanthreads_q4[[#This Row],[Total]]-urbanthreads_q4[[#This Row],[Disc %]]</f>
        <v>998</v>
      </c>
      <c r="AA191" s="1">
        <f>urbanthreads_q4[[#This Row],[Net revenue]]/urbanthreads_q4[[#This Row],[Total]]</f>
        <v>1</v>
      </c>
      <c r="AB191" s="1" t="str">
        <f>TEXT(urbanthreads_q4[[#This Row],[Order Date]],"mm-yyyy")</f>
        <v>11-2024</v>
      </c>
      <c r="AC191" s="1" t="str">
        <f>YEAR(urbanthreads_q4[[#This Row],[Order Date]]) &amp; "-W" &amp; WEEKNUM(urbanthreads_q4[[#This Row],[Order Date]], 2)</f>
        <v>2024-W47</v>
      </c>
      <c r="AD191" s="1" t="str">
        <f>IF(urbanthreads_q4[[#This Row],[Payment]]="COD","COD","Prepaid")</f>
        <v>Prepaid</v>
      </c>
    </row>
    <row r="192" spans="1:30" x14ac:dyDescent="0.3">
      <c r="A192" s="1" t="s">
        <v>851</v>
      </c>
      <c r="B192" s="2">
        <v>45615</v>
      </c>
      <c r="C192" s="1" t="s">
        <v>852</v>
      </c>
      <c r="D192" s="1" t="s">
        <v>25</v>
      </c>
      <c r="E192" s="1" t="s">
        <v>853</v>
      </c>
      <c r="F192" s="1" t="s">
        <v>27</v>
      </c>
      <c r="G192" s="1" t="s">
        <v>854</v>
      </c>
      <c r="H192">
        <v>1799</v>
      </c>
      <c r="I192">
        <v>1</v>
      </c>
      <c r="J192">
        <v>1799</v>
      </c>
      <c r="K192" s="1" t="s">
        <v>29</v>
      </c>
      <c r="L192">
        <v>0</v>
      </c>
      <c r="M192" s="1" t="s">
        <v>56</v>
      </c>
      <c r="N192" s="1" t="s">
        <v>45</v>
      </c>
      <c r="O192" s="1" t="s">
        <v>172</v>
      </c>
      <c r="P192" s="1" t="s">
        <v>33</v>
      </c>
      <c r="Q192" s="1" t="s">
        <v>32</v>
      </c>
      <c r="S192" s="1" t="s">
        <v>121</v>
      </c>
      <c r="T192" s="1" t="s">
        <v>35</v>
      </c>
      <c r="U192" s="1" t="s">
        <v>29</v>
      </c>
      <c r="W192" s="1" t="s">
        <v>36</v>
      </c>
      <c r="X192" s="1" t="str">
        <f>IF(urbanthreads_q4[[#This Row],[Qty]]&gt;0,"Valid","Invalid")</f>
        <v>Valid</v>
      </c>
      <c r="Y192" s="1">
        <f>urbanthreads_q4[[#This Row],[Total]]*urbanthreads_q4[[#This Row],[Disc %]]/100</f>
        <v>0</v>
      </c>
      <c r="Z192" s="1">
        <f>urbanthreads_q4[[#This Row],[Total]]-urbanthreads_q4[[#This Row],[Disc %]]</f>
        <v>1799</v>
      </c>
      <c r="AA192" s="1">
        <f>urbanthreads_q4[[#This Row],[Net revenue]]/urbanthreads_q4[[#This Row],[Total]]</f>
        <v>1</v>
      </c>
      <c r="AB192" s="1" t="str">
        <f>TEXT(urbanthreads_q4[[#This Row],[Order Date]],"mm-yyyy")</f>
        <v>11-2024</v>
      </c>
      <c r="AC192" s="1" t="str">
        <f>YEAR(urbanthreads_q4[[#This Row],[Order Date]]) &amp; "-W" &amp; WEEKNUM(urbanthreads_q4[[#This Row],[Order Date]], 2)</f>
        <v>2024-W47</v>
      </c>
      <c r="AD192" s="1" t="str">
        <f>IF(urbanthreads_q4[[#This Row],[Payment]]="COD","COD","Prepaid")</f>
        <v>COD</v>
      </c>
    </row>
    <row r="193" spans="1:30" x14ac:dyDescent="0.3">
      <c r="A193" s="1" t="s">
        <v>795</v>
      </c>
      <c r="B193" s="2">
        <v>45610</v>
      </c>
      <c r="C193" s="1" t="s">
        <v>796</v>
      </c>
      <c r="D193" s="1" t="s">
        <v>25</v>
      </c>
      <c r="E193" s="1" t="s">
        <v>797</v>
      </c>
      <c r="F193" s="1" t="s">
        <v>41</v>
      </c>
      <c r="G193" s="1" t="s">
        <v>798</v>
      </c>
      <c r="H193">
        <v>3199</v>
      </c>
      <c r="I193">
        <v>1</v>
      </c>
      <c r="J193">
        <v>3199</v>
      </c>
      <c r="K193" s="1" t="s">
        <v>703</v>
      </c>
      <c r="L193">
        <v>15</v>
      </c>
      <c r="M193" s="1" t="s">
        <v>65</v>
      </c>
      <c r="N193" s="1" t="s">
        <v>66</v>
      </c>
      <c r="O193" s="1" t="s">
        <v>85</v>
      </c>
      <c r="P193" s="1" t="s">
        <v>33</v>
      </c>
      <c r="Q193" s="1" t="s">
        <v>32</v>
      </c>
      <c r="R193" s="2">
        <v>45625</v>
      </c>
      <c r="S193" s="1" t="s">
        <v>34</v>
      </c>
      <c r="T193" s="1" t="s">
        <v>47</v>
      </c>
      <c r="U193" s="1" t="s">
        <v>48</v>
      </c>
      <c r="V193" s="2">
        <v>45654</v>
      </c>
      <c r="W193" s="1" t="s">
        <v>49</v>
      </c>
      <c r="X193" s="1" t="str">
        <f>IF(urbanthreads_q4[[#This Row],[Qty]]&gt;0,"Valid","Invalid")</f>
        <v>Valid</v>
      </c>
      <c r="Y193" s="1">
        <f>urbanthreads_q4[[#This Row],[Total]]*urbanthreads_q4[[#This Row],[Disc %]]/100</f>
        <v>479.85</v>
      </c>
      <c r="Z193" s="1">
        <f>urbanthreads_q4[[#This Row],[Total]]-urbanthreads_q4[[#This Row],[Disc %]]</f>
        <v>3184</v>
      </c>
      <c r="AA193" s="1">
        <f>urbanthreads_q4[[#This Row],[Net revenue]]/urbanthreads_q4[[#This Row],[Total]]</f>
        <v>0.99531103469834326</v>
      </c>
      <c r="AB193" s="1" t="str">
        <f>TEXT(urbanthreads_q4[[#This Row],[Order Date]],"mm-yyyy")</f>
        <v>11-2024</v>
      </c>
      <c r="AC193" s="1" t="str">
        <f>YEAR(urbanthreads_q4[[#This Row],[Order Date]]) &amp; "-W" &amp; WEEKNUM(urbanthreads_q4[[#This Row],[Order Date]], 2)</f>
        <v>2024-W46</v>
      </c>
      <c r="AD193" s="1" t="str">
        <f>IF(urbanthreads_q4[[#This Row],[Payment]]="COD","COD","Prepaid")</f>
        <v>Prepaid</v>
      </c>
    </row>
    <row r="194" spans="1:30" x14ac:dyDescent="0.3">
      <c r="A194" s="1" t="s">
        <v>859</v>
      </c>
      <c r="B194" s="2">
        <v>45616</v>
      </c>
      <c r="C194" s="1" t="s">
        <v>860</v>
      </c>
      <c r="D194" s="1" t="s">
        <v>39</v>
      </c>
      <c r="E194" s="1" t="s">
        <v>861</v>
      </c>
      <c r="F194" s="1" t="s">
        <v>54</v>
      </c>
      <c r="G194" s="1" t="s">
        <v>862</v>
      </c>
      <c r="H194">
        <v>2199</v>
      </c>
      <c r="I194">
        <v>1</v>
      </c>
      <c r="J194">
        <v>2199</v>
      </c>
      <c r="K194" s="1" t="s">
        <v>703</v>
      </c>
      <c r="L194">
        <v>15</v>
      </c>
      <c r="M194" s="1" t="s">
        <v>112</v>
      </c>
      <c r="N194" s="1" t="s">
        <v>31</v>
      </c>
      <c r="O194" s="1" t="s">
        <v>182</v>
      </c>
      <c r="P194" s="1" t="s">
        <v>183</v>
      </c>
      <c r="Q194" s="1" t="s">
        <v>57</v>
      </c>
      <c r="R194" s="2">
        <v>45629</v>
      </c>
      <c r="S194" s="1" t="s">
        <v>34</v>
      </c>
      <c r="T194" s="1" t="s">
        <v>35</v>
      </c>
      <c r="U194" s="1" t="s">
        <v>29</v>
      </c>
      <c r="W194" s="1" t="s">
        <v>36</v>
      </c>
      <c r="X194" s="1" t="str">
        <f>IF(urbanthreads_q4[[#This Row],[Qty]]&gt;0,"Valid","Invalid")</f>
        <v>Valid</v>
      </c>
      <c r="Y194" s="1">
        <f>urbanthreads_q4[[#This Row],[Total]]*urbanthreads_q4[[#This Row],[Disc %]]/100</f>
        <v>329.85</v>
      </c>
      <c r="Z194" s="1">
        <f>urbanthreads_q4[[#This Row],[Total]]-urbanthreads_q4[[#This Row],[Disc %]]</f>
        <v>2184</v>
      </c>
      <c r="AA194" s="1">
        <f>urbanthreads_q4[[#This Row],[Net revenue]]/urbanthreads_q4[[#This Row],[Total]]</f>
        <v>0.99317871759890863</v>
      </c>
      <c r="AB194" s="1" t="str">
        <f>TEXT(urbanthreads_q4[[#This Row],[Order Date]],"mm-yyyy")</f>
        <v>11-2024</v>
      </c>
      <c r="AC194" s="1" t="str">
        <f>YEAR(urbanthreads_q4[[#This Row],[Order Date]]) &amp; "-W" &amp; WEEKNUM(urbanthreads_q4[[#This Row],[Order Date]], 2)</f>
        <v>2024-W47</v>
      </c>
      <c r="AD194" s="1" t="str">
        <f>IF(urbanthreads_q4[[#This Row],[Payment]]="COD","COD","Prepaid")</f>
        <v>Prepaid</v>
      </c>
    </row>
    <row r="195" spans="1:30" x14ac:dyDescent="0.3">
      <c r="A195" s="1" t="s">
        <v>803</v>
      </c>
      <c r="B195" s="2">
        <v>45611</v>
      </c>
      <c r="C195" s="1" t="s">
        <v>804</v>
      </c>
      <c r="D195" s="1" t="s">
        <v>25</v>
      </c>
      <c r="E195" s="1" t="s">
        <v>805</v>
      </c>
      <c r="F195" s="1" t="s">
        <v>62</v>
      </c>
      <c r="G195" s="1" t="s">
        <v>806</v>
      </c>
      <c r="H195">
        <v>6999</v>
      </c>
      <c r="I195">
        <v>1</v>
      </c>
      <c r="J195">
        <v>6999</v>
      </c>
      <c r="K195" s="1" t="s">
        <v>29</v>
      </c>
      <c r="L195">
        <v>0</v>
      </c>
      <c r="M195" s="1" t="s">
        <v>30</v>
      </c>
      <c r="N195" s="1" t="s">
        <v>45</v>
      </c>
      <c r="O195" s="1" t="s">
        <v>103</v>
      </c>
      <c r="P195" s="1" t="s">
        <v>104</v>
      </c>
      <c r="Q195" s="1" t="s">
        <v>46</v>
      </c>
      <c r="R195" s="2">
        <v>45626</v>
      </c>
      <c r="S195" s="1" t="s">
        <v>34</v>
      </c>
      <c r="T195" s="1" t="s">
        <v>47</v>
      </c>
      <c r="U195" s="1" t="s">
        <v>105</v>
      </c>
      <c r="V195" s="2">
        <v>45655</v>
      </c>
      <c r="W195" s="1" t="s">
        <v>49</v>
      </c>
      <c r="X195" s="1" t="str">
        <f>IF(urbanthreads_q4[[#This Row],[Qty]]&gt;0,"Valid","Invalid")</f>
        <v>Valid</v>
      </c>
      <c r="Y195" s="1">
        <f>urbanthreads_q4[[#This Row],[Total]]*urbanthreads_q4[[#This Row],[Disc %]]/100</f>
        <v>0</v>
      </c>
      <c r="Z195" s="1">
        <f>urbanthreads_q4[[#This Row],[Total]]-urbanthreads_q4[[#This Row],[Disc %]]</f>
        <v>6999</v>
      </c>
      <c r="AA195" s="1">
        <f>urbanthreads_q4[[#This Row],[Net revenue]]/urbanthreads_q4[[#This Row],[Total]]</f>
        <v>1</v>
      </c>
      <c r="AB195" s="1" t="str">
        <f>TEXT(urbanthreads_q4[[#This Row],[Order Date]],"mm-yyyy")</f>
        <v>11-2024</v>
      </c>
      <c r="AC195" s="1" t="str">
        <f>YEAR(urbanthreads_q4[[#This Row],[Order Date]]) &amp; "-W" &amp; WEEKNUM(urbanthreads_q4[[#This Row],[Order Date]], 2)</f>
        <v>2024-W46</v>
      </c>
      <c r="AD195" s="1" t="str">
        <f>IF(urbanthreads_q4[[#This Row],[Payment]]="COD","COD","Prepaid")</f>
        <v>Prepaid</v>
      </c>
    </row>
    <row r="196" spans="1:30" x14ac:dyDescent="0.3">
      <c r="A196" s="1" t="s">
        <v>867</v>
      </c>
      <c r="B196" s="2">
        <v>45616</v>
      </c>
      <c r="C196" s="1" t="s">
        <v>868</v>
      </c>
      <c r="D196" s="1" t="s">
        <v>25</v>
      </c>
      <c r="E196" s="1" t="s">
        <v>869</v>
      </c>
      <c r="F196" s="1" t="s">
        <v>72</v>
      </c>
      <c r="G196" s="1" t="s">
        <v>870</v>
      </c>
      <c r="H196">
        <v>799</v>
      </c>
      <c r="I196">
        <v>1</v>
      </c>
      <c r="J196">
        <v>799</v>
      </c>
      <c r="K196" s="1" t="s">
        <v>29</v>
      </c>
      <c r="L196">
        <v>0</v>
      </c>
      <c r="M196" s="1" t="s">
        <v>44</v>
      </c>
      <c r="N196" s="1" t="s">
        <v>66</v>
      </c>
      <c r="O196" s="1" t="s">
        <v>194</v>
      </c>
      <c r="P196" s="1" t="s">
        <v>183</v>
      </c>
      <c r="Q196" s="1" t="s">
        <v>57</v>
      </c>
      <c r="R196" s="2">
        <v>45630</v>
      </c>
      <c r="S196" s="1" t="s">
        <v>34</v>
      </c>
      <c r="T196" s="1" t="s">
        <v>35</v>
      </c>
      <c r="U196" s="1" t="s">
        <v>29</v>
      </c>
      <c r="W196" s="1" t="s">
        <v>36</v>
      </c>
      <c r="X196" s="1" t="str">
        <f>IF(urbanthreads_q4[[#This Row],[Qty]]&gt;0,"Valid","Invalid")</f>
        <v>Valid</v>
      </c>
      <c r="Y196" s="1">
        <f>urbanthreads_q4[[#This Row],[Total]]*urbanthreads_q4[[#This Row],[Disc %]]/100</f>
        <v>0</v>
      </c>
      <c r="Z196" s="1">
        <f>urbanthreads_q4[[#This Row],[Total]]-urbanthreads_q4[[#This Row],[Disc %]]</f>
        <v>799</v>
      </c>
      <c r="AA196" s="1">
        <f>urbanthreads_q4[[#This Row],[Net revenue]]/urbanthreads_q4[[#This Row],[Total]]</f>
        <v>1</v>
      </c>
      <c r="AB196" s="1" t="str">
        <f>TEXT(urbanthreads_q4[[#This Row],[Order Date]],"mm-yyyy")</f>
        <v>11-2024</v>
      </c>
      <c r="AC196" s="1" t="str">
        <f>YEAR(urbanthreads_q4[[#This Row],[Order Date]]) &amp; "-W" &amp; WEEKNUM(urbanthreads_q4[[#This Row],[Order Date]], 2)</f>
        <v>2024-W47</v>
      </c>
      <c r="AD196" s="1" t="str">
        <f>IF(urbanthreads_q4[[#This Row],[Payment]]="COD","COD","Prepaid")</f>
        <v>Prepaid</v>
      </c>
    </row>
    <row r="197" spans="1:30" x14ac:dyDescent="0.3">
      <c r="A197" s="1" t="s">
        <v>807</v>
      </c>
      <c r="B197" s="2">
        <v>45611</v>
      </c>
      <c r="C197" s="1" t="s">
        <v>808</v>
      </c>
      <c r="D197" s="1" t="s">
        <v>25</v>
      </c>
      <c r="E197" s="1" t="s">
        <v>809</v>
      </c>
      <c r="F197" s="1" t="s">
        <v>72</v>
      </c>
      <c r="G197" s="1" t="s">
        <v>810</v>
      </c>
      <c r="H197">
        <v>899</v>
      </c>
      <c r="I197">
        <v>1</v>
      </c>
      <c r="J197">
        <v>899</v>
      </c>
      <c r="K197" s="1" t="s">
        <v>29</v>
      </c>
      <c r="L197">
        <v>0</v>
      </c>
      <c r="M197" s="1" t="s">
        <v>56</v>
      </c>
      <c r="N197" s="1" t="s">
        <v>66</v>
      </c>
      <c r="O197" s="1" t="s">
        <v>113</v>
      </c>
      <c r="P197" s="1" t="s">
        <v>114</v>
      </c>
      <c r="Q197" s="1" t="s">
        <v>46</v>
      </c>
      <c r="R197" s="2">
        <v>45624</v>
      </c>
      <c r="S197" s="1" t="s">
        <v>34</v>
      </c>
      <c r="T197" s="1" t="s">
        <v>47</v>
      </c>
      <c r="U197" s="1" t="s">
        <v>80</v>
      </c>
      <c r="V197" s="2">
        <v>45653</v>
      </c>
      <c r="W197" s="1" t="s">
        <v>49</v>
      </c>
      <c r="X197" s="1" t="str">
        <f>IF(urbanthreads_q4[[#This Row],[Qty]]&gt;0,"Valid","Invalid")</f>
        <v>Valid</v>
      </c>
      <c r="Y197" s="1">
        <f>urbanthreads_q4[[#This Row],[Total]]*urbanthreads_q4[[#This Row],[Disc %]]/100</f>
        <v>0</v>
      </c>
      <c r="Z197" s="1">
        <f>urbanthreads_q4[[#This Row],[Total]]-urbanthreads_q4[[#This Row],[Disc %]]</f>
        <v>899</v>
      </c>
      <c r="AA197" s="1">
        <f>urbanthreads_q4[[#This Row],[Net revenue]]/urbanthreads_q4[[#This Row],[Total]]</f>
        <v>1</v>
      </c>
      <c r="AB197" s="1" t="str">
        <f>TEXT(urbanthreads_q4[[#This Row],[Order Date]],"mm-yyyy")</f>
        <v>11-2024</v>
      </c>
      <c r="AC197" s="1" t="str">
        <f>YEAR(urbanthreads_q4[[#This Row],[Order Date]]) &amp; "-W" &amp; WEEKNUM(urbanthreads_q4[[#This Row],[Order Date]], 2)</f>
        <v>2024-W46</v>
      </c>
      <c r="AD197" s="1" t="str">
        <f>IF(urbanthreads_q4[[#This Row],[Payment]]="COD","COD","Prepaid")</f>
        <v>COD</v>
      </c>
    </row>
    <row r="198" spans="1:30" x14ac:dyDescent="0.3">
      <c r="A198" s="1" t="s">
        <v>815</v>
      </c>
      <c r="B198" s="2">
        <v>45612</v>
      </c>
      <c r="C198" s="1" t="s">
        <v>816</v>
      </c>
      <c r="D198" s="1" t="s">
        <v>25</v>
      </c>
      <c r="E198" s="1" t="s">
        <v>817</v>
      </c>
      <c r="F198" s="1" t="s">
        <v>41</v>
      </c>
      <c r="G198" s="1" t="s">
        <v>818</v>
      </c>
      <c r="H198">
        <v>2999</v>
      </c>
      <c r="I198">
        <v>1</v>
      </c>
      <c r="J198">
        <v>2999</v>
      </c>
      <c r="K198" s="1" t="s">
        <v>29</v>
      </c>
      <c r="L198">
        <v>0</v>
      </c>
      <c r="M198" s="1" t="s">
        <v>65</v>
      </c>
      <c r="N198" s="1" t="s">
        <v>45</v>
      </c>
      <c r="O198" s="1" t="s">
        <v>32</v>
      </c>
      <c r="P198" s="1" t="s">
        <v>33</v>
      </c>
      <c r="Q198" s="1" t="s">
        <v>32</v>
      </c>
      <c r="R198" s="2">
        <v>45627</v>
      </c>
      <c r="S198" s="1" t="s">
        <v>34</v>
      </c>
      <c r="T198" s="1" t="s">
        <v>47</v>
      </c>
      <c r="U198" s="1" t="s">
        <v>69</v>
      </c>
      <c r="V198" s="2">
        <v>45656</v>
      </c>
      <c r="W198" s="1" t="s">
        <v>49</v>
      </c>
      <c r="X198" s="1" t="str">
        <f>IF(urbanthreads_q4[[#This Row],[Qty]]&gt;0,"Valid","Invalid")</f>
        <v>Valid</v>
      </c>
      <c r="Y198" s="1">
        <f>urbanthreads_q4[[#This Row],[Total]]*urbanthreads_q4[[#This Row],[Disc %]]/100</f>
        <v>0</v>
      </c>
      <c r="Z198" s="1">
        <f>urbanthreads_q4[[#This Row],[Total]]-urbanthreads_q4[[#This Row],[Disc %]]</f>
        <v>2999</v>
      </c>
      <c r="AA198" s="1">
        <f>urbanthreads_q4[[#This Row],[Net revenue]]/urbanthreads_q4[[#This Row],[Total]]</f>
        <v>1</v>
      </c>
      <c r="AB198" s="1" t="str">
        <f>TEXT(urbanthreads_q4[[#This Row],[Order Date]],"mm-yyyy")</f>
        <v>11-2024</v>
      </c>
      <c r="AC198" s="1" t="str">
        <f>YEAR(urbanthreads_q4[[#This Row],[Order Date]]) &amp; "-W" &amp; WEEKNUM(urbanthreads_q4[[#This Row],[Order Date]], 2)</f>
        <v>2024-W46</v>
      </c>
      <c r="AD198" s="1" t="str">
        <f>IF(urbanthreads_q4[[#This Row],[Payment]]="COD","COD","Prepaid")</f>
        <v>Prepaid</v>
      </c>
    </row>
    <row r="199" spans="1:30" x14ac:dyDescent="0.3">
      <c r="A199" s="1" t="s">
        <v>879</v>
      </c>
      <c r="B199" s="2">
        <v>45617</v>
      </c>
      <c r="C199" s="1" t="s">
        <v>880</v>
      </c>
      <c r="D199" s="1" t="s">
        <v>39</v>
      </c>
      <c r="E199" s="1" t="s">
        <v>881</v>
      </c>
      <c r="F199" s="1" t="s">
        <v>54</v>
      </c>
      <c r="G199" s="1" t="s">
        <v>882</v>
      </c>
      <c r="H199">
        <v>2599</v>
      </c>
      <c r="I199">
        <v>1</v>
      </c>
      <c r="J199">
        <v>2599</v>
      </c>
      <c r="K199" s="1" t="s">
        <v>29</v>
      </c>
      <c r="L199">
        <v>0</v>
      </c>
      <c r="M199" s="1" t="s">
        <v>44</v>
      </c>
      <c r="N199" s="1" t="s">
        <v>66</v>
      </c>
      <c r="O199" s="1" t="s">
        <v>209</v>
      </c>
      <c r="P199" s="1" t="s">
        <v>98</v>
      </c>
      <c r="Q199" s="1" t="s">
        <v>32</v>
      </c>
      <c r="R199" s="2">
        <v>45631</v>
      </c>
      <c r="S199" s="1" t="s">
        <v>34</v>
      </c>
      <c r="T199" s="1" t="s">
        <v>35</v>
      </c>
      <c r="U199" s="1" t="s">
        <v>29</v>
      </c>
      <c r="W199" s="1" t="s">
        <v>36</v>
      </c>
      <c r="X199" s="1" t="str">
        <f>IF(urbanthreads_q4[[#This Row],[Qty]]&gt;0,"Valid","Invalid")</f>
        <v>Valid</v>
      </c>
      <c r="Y199" s="1">
        <f>urbanthreads_q4[[#This Row],[Total]]*urbanthreads_q4[[#This Row],[Disc %]]/100</f>
        <v>0</v>
      </c>
      <c r="Z199" s="1">
        <f>urbanthreads_q4[[#This Row],[Total]]-urbanthreads_q4[[#This Row],[Disc %]]</f>
        <v>2599</v>
      </c>
      <c r="AA199" s="1">
        <f>urbanthreads_q4[[#This Row],[Net revenue]]/urbanthreads_q4[[#This Row],[Total]]</f>
        <v>1</v>
      </c>
      <c r="AB199" s="1" t="str">
        <f>TEXT(urbanthreads_q4[[#This Row],[Order Date]],"mm-yyyy")</f>
        <v>11-2024</v>
      </c>
      <c r="AC199" s="1" t="str">
        <f>YEAR(urbanthreads_q4[[#This Row],[Order Date]]) &amp; "-W" &amp; WEEKNUM(urbanthreads_q4[[#This Row],[Order Date]], 2)</f>
        <v>2024-W47</v>
      </c>
      <c r="AD199" s="1" t="str">
        <f>IF(urbanthreads_q4[[#This Row],[Payment]]="COD","COD","Prepaid")</f>
        <v>Prepaid</v>
      </c>
    </row>
    <row r="200" spans="1:30" x14ac:dyDescent="0.3">
      <c r="A200" s="1" t="s">
        <v>823</v>
      </c>
      <c r="B200" s="2">
        <v>45613</v>
      </c>
      <c r="C200" s="1" t="s">
        <v>824</v>
      </c>
      <c r="D200" s="1" t="s">
        <v>25</v>
      </c>
      <c r="E200" s="1" t="s">
        <v>825</v>
      </c>
      <c r="F200" s="1" t="s">
        <v>62</v>
      </c>
      <c r="G200" s="1" t="s">
        <v>826</v>
      </c>
      <c r="H200">
        <v>7499</v>
      </c>
      <c r="I200">
        <v>1</v>
      </c>
      <c r="J200">
        <v>7499</v>
      </c>
      <c r="K200" s="1" t="s">
        <v>29</v>
      </c>
      <c r="L200">
        <v>0</v>
      </c>
      <c r="M200" s="1" t="s">
        <v>30</v>
      </c>
      <c r="N200" s="1" t="s">
        <v>31</v>
      </c>
      <c r="O200" s="1" t="s">
        <v>119</v>
      </c>
      <c r="P200" s="1" t="s">
        <v>120</v>
      </c>
      <c r="Q200" s="1" t="s">
        <v>46</v>
      </c>
      <c r="R200" s="2">
        <v>45628</v>
      </c>
      <c r="S200" s="1" t="s">
        <v>34</v>
      </c>
      <c r="T200" s="1" t="s">
        <v>47</v>
      </c>
      <c r="U200" s="1" t="s">
        <v>48</v>
      </c>
      <c r="V200" s="2">
        <v>45657</v>
      </c>
      <c r="W200" s="1" t="s">
        <v>49</v>
      </c>
      <c r="X200" s="1" t="str">
        <f>IF(urbanthreads_q4[[#This Row],[Qty]]&gt;0,"Valid","Invalid")</f>
        <v>Valid</v>
      </c>
      <c r="Y200" s="1">
        <f>urbanthreads_q4[[#This Row],[Total]]*urbanthreads_q4[[#This Row],[Disc %]]/100</f>
        <v>0</v>
      </c>
      <c r="Z200" s="1">
        <f>urbanthreads_q4[[#This Row],[Total]]-urbanthreads_q4[[#This Row],[Disc %]]</f>
        <v>7499</v>
      </c>
      <c r="AA200" s="1">
        <f>urbanthreads_q4[[#This Row],[Net revenue]]/urbanthreads_q4[[#This Row],[Total]]</f>
        <v>1</v>
      </c>
      <c r="AB200" s="1" t="str">
        <f>TEXT(urbanthreads_q4[[#This Row],[Order Date]],"mm-yyyy")</f>
        <v>11-2024</v>
      </c>
      <c r="AC200" s="1" t="str">
        <f>YEAR(urbanthreads_q4[[#This Row],[Order Date]]) &amp; "-W" &amp; WEEKNUM(urbanthreads_q4[[#This Row],[Order Date]], 2)</f>
        <v>2024-W46</v>
      </c>
      <c r="AD200" s="1" t="str">
        <f>IF(urbanthreads_q4[[#This Row],[Payment]]="COD","COD","Prepaid")</f>
        <v>Prepaid</v>
      </c>
    </row>
    <row r="201" spans="1:30" x14ac:dyDescent="0.3">
      <c r="A201" s="1" t="s">
        <v>887</v>
      </c>
      <c r="B201" s="2">
        <v>45618</v>
      </c>
      <c r="C201" s="1" t="s">
        <v>888</v>
      </c>
      <c r="D201" s="1" t="s">
        <v>25</v>
      </c>
      <c r="E201" s="1" t="s">
        <v>889</v>
      </c>
      <c r="F201" s="1" t="s">
        <v>72</v>
      </c>
      <c r="G201" s="1" t="s">
        <v>890</v>
      </c>
      <c r="H201">
        <v>999</v>
      </c>
      <c r="I201">
        <v>1</v>
      </c>
      <c r="J201">
        <v>999</v>
      </c>
      <c r="K201" s="1" t="s">
        <v>29</v>
      </c>
      <c r="L201">
        <v>0</v>
      </c>
      <c r="M201" s="1" t="s">
        <v>65</v>
      </c>
      <c r="N201" s="1" t="s">
        <v>45</v>
      </c>
      <c r="O201" s="1" t="s">
        <v>32</v>
      </c>
      <c r="P201" s="1" t="s">
        <v>33</v>
      </c>
      <c r="Q201" s="1" t="s">
        <v>32</v>
      </c>
      <c r="R201" s="2">
        <v>45632</v>
      </c>
      <c r="S201" s="1" t="s">
        <v>34</v>
      </c>
      <c r="T201" s="1" t="s">
        <v>35</v>
      </c>
      <c r="U201" s="1" t="s">
        <v>29</v>
      </c>
      <c r="W201" s="1" t="s">
        <v>36</v>
      </c>
      <c r="X201" s="1" t="str">
        <f>IF(urbanthreads_q4[[#This Row],[Qty]]&gt;0,"Valid","Invalid")</f>
        <v>Valid</v>
      </c>
      <c r="Y201" s="1">
        <f>urbanthreads_q4[[#This Row],[Total]]*urbanthreads_q4[[#This Row],[Disc %]]/100</f>
        <v>0</v>
      </c>
      <c r="Z201" s="1">
        <f>urbanthreads_q4[[#This Row],[Total]]-urbanthreads_q4[[#This Row],[Disc %]]</f>
        <v>999</v>
      </c>
      <c r="AA201" s="1">
        <f>urbanthreads_q4[[#This Row],[Net revenue]]/urbanthreads_q4[[#This Row],[Total]]</f>
        <v>1</v>
      </c>
      <c r="AB201" s="1" t="str">
        <f>TEXT(urbanthreads_q4[[#This Row],[Order Date]],"mm-yyyy")</f>
        <v>11-2024</v>
      </c>
      <c r="AC201" s="1" t="str">
        <f>YEAR(urbanthreads_q4[[#This Row],[Order Date]]) &amp; "-W" &amp; WEEKNUM(urbanthreads_q4[[#This Row],[Order Date]], 2)</f>
        <v>2024-W47</v>
      </c>
      <c r="AD201" s="1" t="str">
        <f>IF(urbanthreads_q4[[#This Row],[Payment]]="COD","COD","Prepaid")</f>
        <v>Prepaid</v>
      </c>
    </row>
    <row r="202" spans="1:30" x14ac:dyDescent="0.3">
      <c r="A202" s="1" t="s">
        <v>831</v>
      </c>
      <c r="B202" s="2">
        <v>45613</v>
      </c>
      <c r="C202" s="1" t="s">
        <v>832</v>
      </c>
      <c r="D202" s="1" t="s">
        <v>25</v>
      </c>
      <c r="E202" s="1" t="s">
        <v>833</v>
      </c>
      <c r="F202" s="1" t="s">
        <v>27</v>
      </c>
      <c r="G202" s="1" t="s">
        <v>834</v>
      </c>
      <c r="H202">
        <v>1599</v>
      </c>
      <c r="I202">
        <v>1</v>
      </c>
      <c r="J202">
        <v>1599</v>
      </c>
      <c r="K202" s="1" t="s">
        <v>29</v>
      </c>
      <c r="L202">
        <v>0</v>
      </c>
      <c r="M202" s="1" t="s">
        <v>44</v>
      </c>
      <c r="N202" s="1" t="s">
        <v>66</v>
      </c>
      <c r="O202" s="1" t="s">
        <v>144</v>
      </c>
      <c r="P202" s="1" t="s">
        <v>145</v>
      </c>
      <c r="Q202" s="1" t="s">
        <v>46</v>
      </c>
      <c r="R202" s="2">
        <v>45627</v>
      </c>
      <c r="S202" s="1" t="s">
        <v>34</v>
      </c>
      <c r="T202" s="1" t="s">
        <v>47</v>
      </c>
      <c r="U202" s="1" t="s">
        <v>139</v>
      </c>
      <c r="V202" s="2">
        <v>45655</v>
      </c>
      <c r="W202" s="1" t="s">
        <v>49</v>
      </c>
      <c r="X202" s="1" t="str">
        <f>IF(urbanthreads_q4[[#This Row],[Qty]]&gt;0,"Valid","Invalid")</f>
        <v>Valid</v>
      </c>
      <c r="Y202" s="1">
        <f>urbanthreads_q4[[#This Row],[Total]]*urbanthreads_q4[[#This Row],[Disc %]]/100</f>
        <v>0</v>
      </c>
      <c r="Z202" s="1">
        <f>urbanthreads_q4[[#This Row],[Total]]-urbanthreads_q4[[#This Row],[Disc %]]</f>
        <v>1599</v>
      </c>
      <c r="AA202" s="1">
        <f>urbanthreads_q4[[#This Row],[Net revenue]]/urbanthreads_q4[[#This Row],[Total]]</f>
        <v>1</v>
      </c>
      <c r="AB202" s="1" t="str">
        <f>TEXT(urbanthreads_q4[[#This Row],[Order Date]],"mm-yyyy")</f>
        <v>11-2024</v>
      </c>
      <c r="AC202" s="1" t="str">
        <f>YEAR(urbanthreads_q4[[#This Row],[Order Date]]) &amp; "-W" &amp; WEEKNUM(urbanthreads_q4[[#This Row],[Order Date]], 2)</f>
        <v>2024-W46</v>
      </c>
      <c r="AD202" s="1" t="str">
        <f>IF(urbanthreads_q4[[#This Row],[Payment]]="COD","COD","Prepaid")</f>
        <v>Prepaid</v>
      </c>
    </row>
    <row r="203" spans="1:30" x14ac:dyDescent="0.3">
      <c r="A203" s="1" t="s">
        <v>895</v>
      </c>
      <c r="B203" s="2">
        <v>45619</v>
      </c>
      <c r="C203" s="1" t="s">
        <v>896</v>
      </c>
      <c r="D203" s="1" t="s">
        <v>25</v>
      </c>
      <c r="E203" s="1" t="s">
        <v>897</v>
      </c>
      <c r="F203" s="1" t="s">
        <v>41</v>
      </c>
      <c r="G203" s="1" t="s">
        <v>898</v>
      </c>
      <c r="H203">
        <v>2799</v>
      </c>
      <c r="I203">
        <v>1</v>
      </c>
      <c r="J203">
        <v>2799</v>
      </c>
      <c r="K203" s="1" t="s">
        <v>29</v>
      </c>
      <c r="L203">
        <v>0</v>
      </c>
      <c r="M203" s="1" t="s">
        <v>44</v>
      </c>
      <c r="N203" s="1" t="s">
        <v>31</v>
      </c>
      <c r="O203" s="1" t="s">
        <v>91</v>
      </c>
      <c r="P203" s="1" t="s">
        <v>92</v>
      </c>
      <c r="Q203" s="1" t="s">
        <v>46</v>
      </c>
      <c r="R203" s="2">
        <v>45635</v>
      </c>
      <c r="S203" s="1" t="s">
        <v>34</v>
      </c>
      <c r="T203" s="1" t="s">
        <v>35</v>
      </c>
      <c r="U203" s="1" t="s">
        <v>29</v>
      </c>
      <c r="W203" s="1" t="s">
        <v>36</v>
      </c>
      <c r="X203" s="1" t="str">
        <f>IF(urbanthreads_q4[[#This Row],[Qty]]&gt;0,"Valid","Invalid")</f>
        <v>Valid</v>
      </c>
      <c r="Y203" s="1">
        <f>urbanthreads_q4[[#This Row],[Total]]*urbanthreads_q4[[#This Row],[Disc %]]/100</f>
        <v>0</v>
      </c>
      <c r="Z203" s="1">
        <f>urbanthreads_q4[[#This Row],[Total]]-urbanthreads_q4[[#This Row],[Disc %]]</f>
        <v>2799</v>
      </c>
      <c r="AA203" s="1">
        <f>urbanthreads_q4[[#This Row],[Net revenue]]/urbanthreads_q4[[#This Row],[Total]]</f>
        <v>1</v>
      </c>
      <c r="AB203" s="1" t="str">
        <f>TEXT(urbanthreads_q4[[#This Row],[Order Date]],"mm-yyyy")</f>
        <v>11-2024</v>
      </c>
      <c r="AC203" s="1" t="str">
        <f>YEAR(urbanthreads_q4[[#This Row],[Order Date]]) &amp; "-W" &amp; WEEKNUM(urbanthreads_q4[[#This Row],[Order Date]], 2)</f>
        <v>2024-W47</v>
      </c>
      <c r="AD203" s="1" t="str">
        <f>IF(urbanthreads_q4[[#This Row],[Payment]]="COD","COD","Prepaid")</f>
        <v>Prepaid</v>
      </c>
    </row>
    <row r="204" spans="1:30" x14ac:dyDescent="0.3">
      <c r="A204" s="1" t="s">
        <v>663</v>
      </c>
      <c r="B204" s="2">
        <v>45600</v>
      </c>
      <c r="C204" s="1" t="s">
        <v>664</v>
      </c>
      <c r="D204" s="1" t="s">
        <v>25</v>
      </c>
      <c r="E204" s="1" t="s">
        <v>665</v>
      </c>
      <c r="F204" s="1" t="s">
        <v>62</v>
      </c>
      <c r="G204" s="1" t="s">
        <v>666</v>
      </c>
      <c r="H204">
        <v>4299</v>
      </c>
      <c r="I204">
        <v>1</v>
      </c>
      <c r="J204">
        <v>4299</v>
      </c>
      <c r="K204" s="1" t="s">
        <v>537</v>
      </c>
      <c r="L204">
        <v>40</v>
      </c>
      <c r="M204" s="1" t="s">
        <v>44</v>
      </c>
      <c r="N204" s="1" t="s">
        <v>66</v>
      </c>
      <c r="O204" s="1" t="s">
        <v>32</v>
      </c>
      <c r="P204" s="1" t="s">
        <v>33</v>
      </c>
      <c r="Q204" s="1" t="s">
        <v>32</v>
      </c>
      <c r="R204" s="2">
        <v>45613</v>
      </c>
      <c r="S204" s="1" t="s">
        <v>34</v>
      </c>
      <c r="T204" s="1" t="s">
        <v>47</v>
      </c>
      <c r="U204" s="1" t="s">
        <v>69</v>
      </c>
      <c r="V204" s="2">
        <v>45642</v>
      </c>
      <c r="W204" s="1" t="s">
        <v>49</v>
      </c>
      <c r="X204" s="1" t="str">
        <f>IF(urbanthreads_q4[[#This Row],[Qty]]&gt;0,"Valid","Invalid")</f>
        <v>Valid</v>
      </c>
      <c r="Y204" s="1">
        <f>urbanthreads_q4[[#This Row],[Total]]*urbanthreads_q4[[#This Row],[Disc %]]/100</f>
        <v>1719.6</v>
      </c>
      <c r="Z204" s="1">
        <f>urbanthreads_q4[[#This Row],[Total]]-urbanthreads_q4[[#This Row],[Disc %]]</f>
        <v>4259</v>
      </c>
      <c r="AA204" s="1">
        <f>urbanthreads_q4[[#This Row],[Net revenue]]/urbanthreads_q4[[#This Row],[Total]]</f>
        <v>0.99069551058385674</v>
      </c>
      <c r="AB204" s="1" t="str">
        <f>TEXT(urbanthreads_q4[[#This Row],[Order Date]],"mm-yyyy")</f>
        <v>11-2024</v>
      </c>
      <c r="AC204" s="1" t="str">
        <f>YEAR(urbanthreads_q4[[#This Row],[Order Date]]) &amp; "-W" &amp; WEEKNUM(urbanthreads_q4[[#This Row],[Order Date]], 2)</f>
        <v>2024-W45</v>
      </c>
      <c r="AD204" s="1" t="str">
        <f>IF(urbanthreads_q4[[#This Row],[Payment]]="COD","COD","Prepaid")</f>
        <v>Prepaid</v>
      </c>
    </row>
    <row r="205" spans="1:30" x14ac:dyDescent="0.3">
      <c r="A205" s="1" t="s">
        <v>671</v>
      </c>
      <c r="B205" s="2">
        <v>45600</v>
      </c>
      <c r="C205" s="1" t="s">
        <v>672</v>
      </c>
      <c r="D205" s="1" t="s">
        <v>25</v>
      </c>
      <c r="E205" s="1" t="s">
        <v>673</v>
      </c>
      <c r="F205" s="1" t="s">
        <v>27</v>
      </c>
      <c r="G205" s="1" t="s">
        <v>674</v>
      </c>
      <c r="H205">
        <v>1899</v>
      </c>
      <c r="I205">
        <v>1</v>
      </c>
      <c r="J205">
        <v>1899</v>
      </c>
      <c r="K205" s="1" t="s">
        <v>537</v>
      </c>
      <c r="L205">
        <v>40</v>
      </c>
      <c r="M205" s="1" t="s">
        <v>112</v>
      </c>
      <c r="N205" s="1" t="s">
        <v>45</v>
      </c>
      <c r="O205" s="1" t="s">
        <v>91</v>
      </c>
      <c r="P205" s="1" t="s">
        <v>92</v>
      </c>
      <c r="Q205" s="1" t="s">
        <v>46</v>
      </c>
      <c r="R205" s="2">
        <v>45613</v>
      </c>
      <c r="S205" s="1" t="s">
        <v>34</v>
      </c>
      <c r="T205" s="1" t="s">
        <v>47</v>
      </c>
      <c r="U205" s="1" t="s">
        <v>48</v>
      </c>
      <c r="V205" s="2">
        <v>45641</v>
      </c>
      <c r="W205" s="1" t="s">
        <v>49</v>
      </c>
      <c r="X205" s="1" t="str">
        <f>IF(urbanthreads_q4[[#This Row],[Qty]]&gt;0,"Valid","Invalid")</f>
        <v>Valid</v>
      </c>
      <c r="Y205" s="1">
        <f>urbanthreads_q4[[#This Row],[Total]]*urbanthreads_q4[[#This Row],[Disc %]]/100</f>
        <v>759.6</v>
      </c>
      <c r="Z205" s="1">
        <f>urbanthreads_q4[[#This Row],[Total]]-urbanthreads_q4[[#This Row],[Disc %]]</f>
        <v>1859</v>
      </c>
      <c r="AA205" s="1">
        <f>urbanthreads_q4[[#This Row],[Net revenue]]/urbanthreads_q4[[#This Row],[Total]]</f>
        <v>0.97893628225381779</v>
      </c>
      <c r="AB205" s="1" t="str">
        <f>TEXT(urbanthreads_q4[[#This Row],[Order Date]],"mm-yyyy")</f>
        <v>11-2024</v>
      </c>
      <c r="AC205" s="1" t="str">
        <f>YEAR(urbanthreads_q4[[#This Row],[Order Date]]) &amp; "-W" &amp; WEEKNUM(urbanthreads_q4[[#This Row],[Order Date]], 2)</f>
        <v>2024-W45</v>
      </c>
      <c r="AD205" s="1" t="str">
        <f>IF(urbanthreads_q4[[#This Row],[Payment]]="COD","COD","Prepaid")</f>
        <v>Prepaid</v>
      </c>
    </row>
    <row r="206" spans="1:30" x14ac:dyDescent="0.3">
      <c r="A206" s="1" t="s">
        <v>907</v>
      </c>
      <c r="B206" s="2">
        <v>45620</v>
      </c>
      <c r="C206" s="1" t="s">
        <v>908</v>
      </c>
      <c r="D206" s="1" t="s">
        <v>25</v>
      </c>
      <c r="E206" s="1" t="s">
        <v>909</v>
      </c>
      <c r="F206" s="1" t="s">
        <v>72</v>
      </c>
      <c r="G206" s="1" t="s">
        <v>910</v>
      </c>
      <c r="H206">
        <v>1499</v>
      </c>
      <c r="I206">
        <v>1</v>
      </c>
      <c r="J206">
        <v>1499</v>
      </c>
      <c r="K206" s="1" t="s">
        <v>703</v>
      </c>
      <c r="L206">
        <v>15</v>
      </c>
      <c r="M206" s="1" t="s">
        <v>112</v>
      </c>
      <c r="N206" s="1" t="s">
        <v>31</v>
      </c>
      <c r="O206" s="1" t="s">
        <v>85</v>
      </c>
      <c r="P206" s="1" t="s">
        <v>33</v>
      </c>
      <c r="Q206" s="1" t="s">
        <v>32</v>
      </c>
      <c r="R206" s="2">
        <v>45634</v>
      </c>
      <c r="S206" s="1" t="s">
        <v>34</v>
      </c>
      <c r="T206" s="1" t="s">
        <v>35</v>
      </c>
      <c r="U206" s="1" t="s">
        <v>29</v>
      </c>
      <c r="W206" s="1" t="s">
        <v>36</v>
      </c>
      <c r="X206" s="1" t="str">
        <f>IF(urbanthreads_q4[[#This Row],[Qty]]&gt;0,"Valid","Invalid")</f>
        <v>Valid</v>
      </c>
      <c r="Y206" s="1">
        <f>urbanthreads_q4[[#This Row],[Total]]*urbanthreads_q4[[#This Row],[Disc %]]/100</f>
        <v>224.85</v>
      </c>
      <c r="Z206" s="1">
        <f>urbanthreads_q4[[#This Row],[Total]]-urbanthreads_q4[[#This Row],[Disc %]]</f>
        <v>1484</v>
      </c>
      <c r="AA206" s="1">
        <f>urbanthreads_q4[[#This Row],[Net revenue]]/urbanthreads_q4[[#This Row],[Total]]</f>
        <v>0.98999332888592395</v>
      </c>
      <c r="AB206" s="1" t="str">
        <f>TEXT(urbanthreads_q4[[#This Row],[Order Date]],"mm-yyyy")</f>
        <v>11-2024</v>
      </c>
      <c r="AC206" s="1" t="str">
        <f>YEAR(urbanthreads_q4[[#This Row],[Order Date]]) &amp; "-W" &amp; WEEKNUM(urbanthreads_q4[[#This Row],[Order Date]], 2)</f>
        <v>2024-W47</v>
      </c>
      <c r="AD206" s="1" t="str">
        <f>IF(urbanthreads_q4[[#This Row],[Payment]]="COD","COD","Prepaid")</f>
        <v>Prepaid</v>
      </c>
    </row>
    <row r="207" spans="1:30" x14ac:dyDescent="0.3">
      <c r="A207" s="1" t="s">
        <v>675</v>
      </c>
      <c r="B207" s="2">
        <v>45601</v>
      </c>
      <c r="C207" s="1" t="s">
        <v>676</v>
      </c>
      <c r="D207" s="1" t="s">
        <v>25</v>
      </c>
      <c r="E207" s="1" t="s">
        <v>677</v>
      </c>
      <c r="F207" s="1" t="s">
        <v>41</v>
      </c>
      <c r="G207" s="1" t="s">
        <v>678</v>
      </c>
      <c r="H207">
        <v>4899</v>
      </c>
      <c r="I207">
        <v>1</v>
      </c>
      <c r="J207">
        <v>4899</v>
      </c>
      <c r="K207" s="1" t="s">
        <v>537</v>
      </c>
      <c r="L207">
        <v>40</v>
      </c>
      <c r="M207" s="1" t="s">
        <v>65</v>
      </c>
      <c r="N207" s="1" t="s">
        <v>66</v>
      </c>
      <c r="O207" s="1" t="s">
        <v>67</v>
      </c>
      <c r="P207" s="1" t="s">
        <v>68</v>
      </c>
      <c r="Q207" s="1" t="s">
        <v>57</v>
      </c>
      <c r="R207" s="2">
        <v>45614</v>
      </c>
      <c r="S207" s="1" t="s">
        <v>34</v>
      </c>
      <c r="T207" s="1" t="s">
        <v>47</v>
      </c>
      <c r="U207" s="1" t="s">
        <v>80</v>
      </c>
      <c r="V207" s="2">
        <v>45643</v>
      </c>
      <c r="W207" s="1" t="s">
        <v>49</v>
      </c>
      <c r="X207" s="1" t="str">
        <f>IF(urbanthreads_q4[[#This Row],[Qty]]&gt;0,"Valid","Invalid")</f>
        <v>Valid</v>
      </c>
      <c r="Y207" s="1">
        <f>urbanthreads_q4[[#This Row],[Total]]*urbanthreads_q4[[#This Row],[Disc %]]/100</f>
        <v>1959.6</v>
      </c>
      <c r="Z207" s="1">
        <f>urbanthreads_q4[[#This Row],[Total]]-urbanthreads_q4[[#This Row],[Disc %]]</f>
        <v>4859</v>
      </c>
      <c r="AA207" s="1">
        <f>urbanthreads_q4[[#This Row],[Net revenue]]/urbanthreads_q4[[#This Row],[Total]]</f>
        <v>0.99183506838130231</v>
      </c>
      <c r="AB207" s="1" t="str">
        <f>TEXT(urbanthreads_q4[[#This Row],[Order Date]],"mm-yyyy")</f>
        <v>11-2024</v>
      </c>
      <c r="AC207" s="1" t="str">
        <f>YEAR(urbanthreads_q4[[#This Row],[Order Date]]) &amp; "-W" &amp; WEEKNUM(urbanthreads_q4[[#This Row],[Order Date]], 2)</f>
        <v>2024-W45</v>
      </c>
      <c r="AD207" s="1" t="str">
        <f>IF(urbanthreads_q4[[#This Row],[Payment]]="COD","COD","Prepaid")</f>
        <v>Prepaid</v>
      </c>
    </row>
    <row r="208" spans="1:30" x14ac:dyDescent="0.3">
      <c r="A208" s="1" t="s">
        <v>915</v>
      </c>
      <c r="B208" s="2">
        <v>45620</v>
      </c>
      <c r="C208" s="1" t="s">
        <v>916</v>
      </c>
      <c r="D208" s="1" t="s">
        <v>25</v>
      </c>
      <c r="E208" s="1" t="s">
        <v>917</v>
      </c>
      <c r="F208" s="1" t="s">
        <v>41</v>
      </c>
      <c r="G208" s="1" t="s">
        <v>918</v>
      </c>
      <c r="H208">
        <v>4999</v>
      </c>
      <c r="I208">
        <v>1</v>
      </c>
      <c r="J208">
        <v>4999</v>
      </c>
      <c r="K208" s="1" t="s">
        <v>29</v>
      </c>
      <c r="L208">
        <v>0</v>
      </c>
      <c r="M208" s="1" t="s">
        <v>44</v>
      </c>
      <c r="N208" s="1" t="s">
        <v>66</v>
      </c>
      <c r="O208" s="1" t="s">
        <v>103</v>
      </c>
      <c r="P208" s="1" t="s">
        <v>104</v>
      </c>
      <c r="Q208" s="1" t="s">
        <v>46</v>
      </c>
      <c r="R208" s="2">
        <v>45637</v>
      </c>
      <c r="S208" s="1" t="s">
        <v>34</v>
      </c>
      <c r="T208" s="1" t="s">
        <v>35</v>
      </c>
      <c r="U208" s="1" t="s">
        <v>29</v>
      </c>
      <c r="W208" s="1" t="s">
        <v>36</v>
      </c>
      <c r="X208" s="1" t="str">
        <f>IF(urbanthreads_q4[[#This Row],[Qty]]&gt;0,"Valid","Invalid")</f>
        <v>Valid</v>
      </c>
      <c r="Y208" s="1">
        <f>urbanthreads_q4[[#This Row],[Total]]*urbanthreads_q4[[#This Row],[Disc %]]/100</f>
        <v>0</v>
      </c>
      <c r="Z208" s="1">
        <f>urbanthreads_q4[[#This Row],[Total]]-urbanthreads_q4[[#This Row],[Disc %]]</f>
        <v>4999</v>
      </c>
      <c r="AA208" s="1">
        <f>urbanthreads_q4[[#This Row],[Net revenue]]/urbanthreads_q4[[#This Row],[Total]]</f>
        <v>1</v>
      </c>
      <c r="AB208" s="1" t="str">
        <f>TEXT(urbanthreads_q4[[#This Row],[Order Date]],"mm-yyyy")</f>
        <v>11-2024</v>
      </c>
      <c r="AC208" s="1" t="str">
        <f>YEAR(urbanthreads_q4[[#This Row],[Order Date]]) &amp; "-W" &amp; WEEKNUM(urbanthreads_q4[[#This Row],[Order Date]], 2)</f>
        <v>2024-W47</v>
      </c>
      <c r="AD208" s="1" t="str">
        <f>IF(urbanthreads_q4[[#This Row],[Payment]]="COD","COD","Prepaid")</f>
        <v>Prepaid</v>
      </c>
    </row>
    <row r="209" spans="1:30" x14ac:dyDescent="0.3">
      <c r="A209" s="1" t="s">
        <v>683</v>
      </c>
      <c r="B209" s="2">
        <v>45601</v>
      </c>
      <c r="C209" s="1" t="s">
        <v>684</v>
      </c>
      <c r="D209" s="1" t="s">
        <v>25</v>
      </c>
      <c r="E209" s="1" t="s">
        <v>685</v>
      </c>
      <c r="F209" s="1" t="s">
        <v>62</v>
      </c>
      <c r="G209" s="1" t="s">
        <v>686</v>
      </c>
      <c r="H209">
        <v>5699</v>
      </c>
      <c r="I209">
        <v>1</v>
      </c>
      <c r="J209">
        <v>5699</v>
      </c>
      <c r="K209" s="1" t="s">
        <v>537</v>
      </c>
      <c r="L209">
        <v>40</v>
      </c>
      <c r="M209" s="1" t="s">
        <v>30</v>
      </c>
      <c r="N209" s="1" t="s">
        <v>45</v>
      </c>
      <c r="O209" s="1" t="s">
        <v>85</v>
      </c>
      <c r="P209" s="1" t="s">
        <v>33</v>
      </c>
      <c r="Q209" s="1" t="s">
        <v>32</v>
      </c>
      <c r="R209" s="2">
        <v>45615</v>
      </c>
      <c r="S209" s="1" t="s">
        <v>34</v>
      </c>
      <c r="T209" s="1" t="s">
        <v>47</v>
      </c>
      <c r="U209" s="1" t="s">
        <v>48</v>
      </c>
      <c r="V209" s="2">
        <v>45644</v>
      </c>
      <c r="W209" s="1" t="s">
        <v>49</v>
      </c>
      <c r="X209" s="1" t="str">
        <f>IF(urbanthreads_q4[[#This Row],[Qty]]&gt;0,"Valid","Invalid")</f>
        <v>Valid</v>
      </c>
      <c r="Y209" s="1">
        <f>urbanthreads_q4[[#This Row],[Total]]*urbanthreads_q4[[#This Row],[Disc %]]/100</f>
        <v>2279.6</v>
      </c>
      <c r="Z209" s="1">
        <f>urbanthreads_q4[[#This Row],[Total]]-urbanthreads_q4[[#This Row],[Disc %]]</f>
        <v>5659</v>
      </c>
      <c r="AA209" s="1">
        <f>urbanthreads_q4[[#This Row],[Net revenue]]/urbanthreads_q4[[#This Row],[Total]]</f>
        <v>0.99298122477627659</v>
      </c>
      <c r="AB209" s="1" t="str">
        <f>TEXT(urbanthreads_q4[[#This Row],[Order Date]],"mm-yyyy")</f>
        <v>11-2024</v>
      </c>
      <c r="AC209" s="1" t="str">
        <f>YEAR(urbanthreads_q4[[#This Row],[Order Date]]) &amp; "-W" &amp; WEEKNUM(urbanthreads_q4[[#This Row],[Order Date]], 2)</f>
        <v>2024-W45</v>
      </c>
      <c r="AD209" s="1" t="str">
        <f>IF(urbanthreads_q4[[#This Row],[Payment]]="COD","COD","Prepaid")</f>
        <v>Prepaid</v>
      </c>
    </row>
    <row r="210" spans="1:30" x14ac:dyDescent="0.3">
      <c r="A210" s="1" t="s">
        <v>687</v>
      </c>
      <c r="B210" s="2">
        <v>45601</v>
      </c>
      <c r="C210" s="1" t="s">
        <v>688</v>
      </c>
      <c r="D210" s="1" t="s">
        <v>25</v>
      </c>
      <c r="E210" s="1" t="s">
        <v>689</v>
      </c>
      <c r="F210" s="1" t="s">
        <v>72</v>
      </c>
      <c r="G210" s="1" t="s">
        <v>690</v>
      </c>
      <c r="H210">
        <v>599</v>
      </c>
      <c r="I210">
        <v>4</v>
      </c>
      <c r="J210">
        <v>2396</v>
      </c>
      <c r="K210" s="1" t="s">
        <v>537</v>
      </c>
      <c r="L210">
        <v>40</v>
      </c>
      <c r="M210" s="1" t="s">
        <v>56</v>
      </c>
      <c r="N210" s="1" t="s">
        <v>66</v>
      </c>
      <c r="O210" s="1" t="s">
        <v>97</v>
      </c>
      <c r="P210" s="1" t="s">
        <v>98</v>
      </c>
      <c r="Q210" s="1" t="s">
        <v>32</v>
      </c>
      <c r="R210" s="2">
        <v>45614</v>
      </c>
      <c r="S210" s="1" t="s">
        <v>34</v>
      </c>
      <c r="T210" s="1" t="s">
        <v>47</v>
      </c>
      <c r="U210" s="1" t="s">
        <v>139</v>
      </c>
      <c r="V210" s="2">
        <v>45642</v>
      </c>
      <c r="W210" s="1" t="s">
        <v>49</v>
      </c>
      <c r="X210" s="1" t="str">
        <f>IF(urbanthreads_q4[[#This Row],[Qty]]&gt;0,"Valid","Invalid")</f>
        <v>Valid</v>
      </c>
      <c r="Y210" s="1">
        <f>urbanthreads_q4[[#This Row],[Total]]*urbanthreads_q4[[#This Row],[Disc %]]/100</f>
        <v>958.4</v>
      </c>
      <c r="Z210" s="1">
        <f>urbanthreads_q4[[#This Row],[Total]]-urbanthreads_q4[[#This Row],[Disc %]]</f>
        <v>2356</v>
      </c>
      <c r="AA210" s="1">
        <f>urbanthreads_q4[[#This Row],[Net revenue]]/urbanthreads_q4[[#This Row],[Total]]</f>
        <v>0.98330550918196991</v>
      </c>
      <c r="AB210" s="1" t="str">
        <f>TEXT(urbanthreads_q4[[#This Row],[Order Date]],"mm-yyyy")</f>
        <v>11-2024</v>
      </c>
      <c r="AC210" s="1" t="str">
        <f>YEAR(urbanthreads_q4[[#This Row],[Order Date]]) &amp; "-W" &amp; WEEKNUM(urbanthreads_q4[[#This Row],[Order Date]], 2)</f>
        <v>2024-W45</v>
      </c>
      <c r="AD210" s="1" t="str">
        <f>IF(urbanthreads_q4[[#This Row],[Payment]]="COD","COD","Prepaid")</f>
        <v>COD</v>
      </c>
    </row>
    <row r="211" spans="1:30" x14ac:dyDescent="0.3">
      <c r="A211" s="1" t="s">
        <v>927</v>
      </c>
      <c r="B211" s="2">
        <v>45621</v>
      </c>
      <c r="C211" s="1" t="s">
        <v>928</v>
      </c>
      <c r="D211" s="1" t="s">
        <v>25</v>
      </c>
      <c r="E211" s="1" t="s">
        <v>929</v>
      </c>
      <c r="F211" s="1" t="s">
        <v>72</v>
      </c>
      <c r="G211" s="1" t="s">
        <v>930</v>
      </c>
      <c r="H211">
        <v>1199</v>
      </c>
      <c r="I211">
        <v>1</v>
      </c>
      <c r="J211">
        <v>1199</v>
      </c>
      <c r="K211" s="1" t="s">
        <v>29</v>
      </c>
      <c r="L211">
        <v>0</v>
      </c>
      <c r="M211" s="1" t="s">
        <v>44</v>
      </c>
      <c r="N211" s="1" t="s">
        <v>66</v>
      </c>
      <c r="O211" s="1" t="s">
        <v>32</v>
      </c>
      <c r="P211" s="1" t="s">
        <v>33</v>
      </c>
      <c r="Q211" s="1" t="s">
        <v>32</v>
      </c>
      <c r="R211" s="2">
        <v>45636</v>
      </c>
      <c r="S211" s="1" t="s">
        <v>34</v>
      </c>
      <c r="T211" s="1" t="s">
        <v>35</v>
      </c>
      <c r="U211" s="1" t="s">
        <v>29</v>
      </c>
      <c r="W211" s="1" t="s">
        <v>36</v>
      </c>
      <c r="X211" s="1" t="str">
        <f>IF(urbanthreads_q4[[#This Row],[Qty]]&gt;0,"Valid","Invalid")</f>
        <v>Valid</v>
      </c>
      <c r="Y211" s="1">
        <f>urbanthreads_q4[[#This Row],[Total]]*urbanthreads_q4[[#This Row],[Disc %]]/100</f>
        <v>0</v>
      </c>
      <c r="Z211" s="1">
        <f>urbanthreads_q4[[#This Row],[Total]]-urbanthreads_q4[[#This Row],[Disc %]]</f>
        <v>1199</v>
      </c>
      <c r="AA211" s="1">
        <f>urbanthreads_q4[[#This Row],[Net revenue]]/urbanthreads_q4[[#This Row],[Total]]</f>
        <v>1</v>
      </c>
      <c r="AB211" s="1" t="str">
        <f>TEXT(urbanthreads_q4[[#This Row],[Order Date]],"mm-yyyy")</f>
        <v>11-2024</v>
      </c>
      <c r="AC211" s="1" t="str">
        <f>YEAR(urbanthreads_q4[[#This Row],[Order Date]]) &amp; "-W" &amp; WEEKNUM(urbanthreads_q4[[#This Row],[Order Date]], 2)</f>
        <v>2024-W48</v>
      </c>
      <c r="AD211" s="1" t="str">
        <f>IF(urbanthreads_q4[[#This Row],[Payment]]="COD","COD","Prepaid")</f>
        <v>Prepaid</v>
      </c>
    </row>
    <row r="212" spans="1:30" x14ac:dyDescent="0.3">
      <c r="A212" s="1" t="s">
        <v>695</v>
      </c>
      <c r="B212" s="2">
        <v>45602</v>
      </c>
      <c r="C212" s="1" t="s">
        <v>696</v>
      </c>
      <c r="D212" s="1" t="s">
        <v>25</v>
      </c>
      <c r="E212" s="1" t="s">
        <v>697</v>
      </c>
      <c r="F212" s="1" t="s">
        <v>41</v>
      </c>
      <c r="G212" s="1" t="s">
        <v>698</v>
      </c>
      <c r="H212">
        <v>2799</v>
      </c>
      <c r="I212">
        <v>1</v>
      </c>
      <c r="J212">
        <v>2799</v>
      </c>
      <c r="K212" s="1" t="s">
        <v>29</v>
      </c>
      <c r="L212">
        <v>0</v>
      </c>
      <c r="M212" s="1" t="s">
        <v>30</v>
      </c>
      <c r="N212" s="1" t="s">
        <v>45</v>
      </c>
      <c r="O212" s="1" t="s">
        <v>113</v>
      </c>
      <c r="P212" s="1" t="s">
        <v>114</v>
      </c>
      <c r="Q212" s="1" t="s">
        <v>46</v>
      </c>
      <c r="R212" s="2">
        <v>45616</v>
      </c>
      <c r="S212" s="1" t="s">
        <v>34</v>
      </c>
      <c r="T212" s="1" t="s">
        <v>47</v>
      </c>
      <c r="U212" s="1" t="s">
        <v>69</v>
      </c>
      <c r="V212" s="2">
        <v>45644</v>
      </c>
      <c r="W212" s="1" t="s">
        <v>49</v>
      </c>
      <c r="X212" s="1" t="str">
        <f>IF(urbanthreads_q4[[#This Row],[Qty]]&gt;0,"Valid","Invalid")</f>
        <v>Valid</v>
      </c>
      <c r="Y212" s="1">
        <f>urbanthreads_q4[[#This Row],[Total]]*urbanthreads_q4[[#This Row],[Disc %]]/100</f>
        <v>0</v>
      </c>
      <c r="Z212" s="1">
        <f>urbanthreads_q4[[#This Row],[Total]]-urbanthreads_q4[[#This Row],[Disc %]]</f>
        <v>2799</v>
      </c>
      <c r="AA212" s="1">
        <f>urbanthreads_q4[[#This Row],[Net revenue]]/urbanthreads_q4[[#This Row],[Total]]</f>
        <v>1</v>
      </c>
      <c r="AB212" s="1" t="str">
        <f>TEXT(urbanthreads_q4[[#This Row],[Order Date]],"mm-yyyy")</f>
        <v>11-2024</v>
      </c>
      <c r="AC212" s="1" t="str">
        <f>YEAR(urbanthreads_q4[[#This Row],[Order Date]]) &amp; "-W" &amp; WEEKNUM(urbanthreads_q4[[#This Row],[Order Date]], 2)</f>
        <v>2024-W45</v>
      </c>
      <c r="AD212" s="1" t="str">
        <f>IF(urbanthreads_q4[[#This Row],[Payment]]="COD","COD","Prepaid")</f>
        <v>Prepaid</v>
      </c>
    </row>
    <row r="213" spans="1:30" x14ac:dyDescent="0.3">
      <c r="A213" s="1" t="s">
        <v>935</v>
      </c>
      <c r="B213" s="2">
        <v>45622</v>
      </c>
      <c r="C213" s="1" t="s">
        <v>936</v>
      </c>
      <c r="D213" s="1" t="s">
        <v>25</v>
      </c>
      <c r="E213" s="1" t="s">
        <v>937</v>
      </c>
      <c r="F213" s="1" t="s">
        <v>41</v>
      </c>
      <c r="G213" s="1" t="s">
        <v>938</v>
      </c>
      <c r="H213">
        <v>3699</v>
      </c>
      <c r="I213">
        <v>1</v>
      </c>
      <c r="J213">
        <v>3699</v>
      </c>
      <c r="K213" s="1" t="s">
        <v>29</v>
      </c>
      <c r="L213">
        <v>0</v>
      </c>
      <c r="M213" s="1" t="s">
        <v>65</v>
      </c>
      <c r="N213" s="1" t="s">
        <v>45</v>
      </c>
      <c r="O213" s="1" t="s">
        <v>119</v>
      </c>
      <c r="P213" s="1" t="s">
        <v>120</v>
      </c>
      <c r="Q213" s="1" t="s">
        <v>46</v>
      </c>
      <c r="R213" s="2">
        <v>45639</v>
      </c>
      <c r="S213" s="1" t="s">
        <v>34</v>
      </c>
      <c r="T213" s="1" t="s">
        <v>35</v>
      </c>
      <c r="U213" s="1" t="s">
        <v>29</v>
      </c>
      <c r="W213" s="1" t="s">
        <v>36</v>
      </c>
      <c r="X213" s="1" t="str">
        <f>IF(urbanthreads_q4[[#This Row],[Qty]]&gt;0,"Valid","Invalid")</f>
        <v>Valid</v>
      </c>
      <c r="Y213" s="1">
        <f>urbanthreads_q4[[#This Row],[Total]]*urbanthreads_q4[[#This Row],[Disc %]]/100</f>
        <v>0</v>
      </c>
      <c r="Z213" s="1">
        <f>urbanthreads_q4[[#This Row],[Total]]-urbanthreads_q4[[#This Row],[Disc %]]</f>
        <v>3699</v>
      </c>
      <c r="AA213" s="1">
        <f>urbanthreads_q4[[#This Row],[Net revenue]]/urbanthreads_q4[[#This Row],[Total]]</f>
        <v>1</v>
      </c>
      <c r="AB213" s="1" t="str">
        <f>TEXT(urbanthreads_q4[[#This Row],[Order Date]],"mm-yyyy")</f>
        <v>11-2024</v>
      </c>
      <c r="AC213" s="1" t="str">
        <f>YEAR(urbanthreads_q4[[#This Row],[Order Date]]) &amp; "-W" &amp; WEEKNUM(urbanthreads_q4[[#This Row],[Order Date]], 2)</f>
        <v>2024-W48</v>
      </c>
      <c r="AD213" s="1" t="str">
        <f>IF(urbanthreads_q4[[#This Row],[Payment]]="COD","COD","Prepaid")</f>
        <v>Prepaid</v>
      </c>
    </row>
    <row r="214" spans="1:30" x14ac:dyDescent="0.3">
      <c r="A214" s="1" t="s">
        <v>704</v>
      </c>
      <c r="B214" s="2">
        <v>45603</v>
      </c>
      <c r="C214" s="1" t="s">
        <v>705</v>
      </c>
      <c r="D214" s="1" t="s">
        <v>25</v>
      </c>
      <c r="E214" s="1" t="s">
        <v>706</v>
      </c>
      <c r="F214" s="1" t="s">
        <v>62</v>
      </c>
      <c r="G214" s="1" t="s">
        <v>707</v>
      </c>
      <c r="H214">
        <v>4599</v>
      </c>
      <c r="I214">
        <v>1</v>
      </c>
      <c r="J214">
        <v>4599</v>
      </c>
      <c r="K214" s="1" t="s">
        <v>29</v>
      </c>
      <c r="L214">
        <v>0</v>
      </c>
      <c r="M214" s="1" t="s">
        <v>44</v>
      </c>
      <c r="N214" s="1" t="s">
        <v>31</v>
      </c>
      <c r="O214" s="1" t="s">
        <v>32</v>
      </c>
      <c r="P214" s="1" t="s">
        <v>33</v>
      </c>
      <c r="Q214" s="1" t="s">
        <v>32</v>
      </c>
      <c r="R214" s="2">
        <v>45617</v>
      </c>
      <c r="S214" s="1" t="s">
        <v>34</v>
      </c>
      <c r="T214" s="1" t="s">
        <v>47</v>
      </c>
      <c r="U214" s="1" t="s">
        <v>48</v>
      </c>
      <c r="V214" s="2">
        <v>45646</v>
      </c>
      <c r="W214" s="1" t="s">
        <v>49</v>
      </c>
      <c r="X214" s="1" t="str">
        <f>IF(urbanthreads_q4[[#This Row],[Qty]]&gt;0,"Valid","Invalid")</f>
        <v>Valid</v>
      </c>
      <c r="Y214" s="1">
        <f>urbanthreads_q4[[#This Row],[Total]]*urbanthreads_q4[[#This Row],[Disc %]]/100</f>
        <v>0</v>
      </c>
      <c r="Z214" s="1">
        <f>urbanthreads_q4[[#This Row],[Total]]-urbanthreads_q4[[#This Row],[Disc %]]</f>
        <v>4599</v>
      </c>
      <c r="AA214" s="1">
        <f>urbanthreads_q4[[#This Row],[Net revenue]]/urbanthreads_q4[[#This Row],[Total]]</f>
        <v>1</v>
      </c>
      <c r="AB214" s="1" t="str">
        <f>TEXT(urbanthreads_q4[[#This Row],[Order Date]],"mm-yyyy")</f>
        <v>11-2024</v>
      </c>
      <c r="AC214" s="1" t="str">
        <f>YEAR(urbanthreads_q4[[#This Row],[Order Date]]) &amp; "-W" &amp; WEEKNUM(urbanthreads_q4[[#This Row],[Order Date]], 2)</f>
        <v>2024-W45</v>
      </c>
      <c r="AD214" s="1" t="str">
        <f>IF(urbanthreads_q4[[#This Row],[Payment]]="COD","COD","Prepaid")</f>
        <v>Prepaid</v>
      </c>
    </row>
    <row r="215" spans="1:30" x14ac:dyDescent="0.3">
      <c r="A215" s="1" t="s">
        <v>712</v>
      </c>
      <c r="B215" s="2">
        <v>45603</v>
      </c>
      <c r="C215" s="1" t="s">
        <v>713</v>
      </c>
      <c r="D215" s="1" t="s">
        <v>25</v>
      </c>
      <c r="E215" s="1" t="s">
        <v>714</v>
      </c>
      <c r="F215" s="1" t="s">
        <v>27</v>
      </c>
      <c r="G215" s="1" t="s">
        <v>715</v>
      </c>
      <c r="H215">
        <v>1799</v>
      </c>
      <c r="I215">
        <v>1</v>
      </c>
      <c r="J215">
        <v>1799</v>
      </c>
      <c r="K215" s="1" t="s">
        <v>703</v>
      </c>
      <c r="L215">
        <v>15</v>
      </c>
      <c r="M215" s="1" t="s">
        <v>30</v>
      </c>
      <c r="N215" s="1" t="s">
        <v>66</v>
      </c>
      <c r="O215" s="1" t="s">
        <v>119</v>
      </c>
      <c r="P215" s="1" t="s">
        <v>120</v>
      </c>
      <c r="Q215" s="1" t="s">
        <v>46</v>
      </c>
      <c r="R215" s="2">
        <v>45616</v>
      </c>
      <c r="S215" s="1" t="s">
        <v>34</v>
      </c>
      <c r="T215" s="1" t="s">
        <v>47</v>
      </c>
      <c r="U215" s="1" t="s">
        <v>105</v>
      </c>
      <c r="V215" s="2">
        <v>45645</v>
      </c>
      <c r="W215" s="1" t="s">
        <v>49</v>
      </c>
      <c r="X215" s="1" t="str">
        <f>IF(urbanthreads_q4[[#This Row],[Qty]]&gt;0,"Valid","Invalid")</f>
        <v>Valid</v>
      </c>
      <c r="Y215" s="1">
        <f>urbanthreads_q4[[#This Row],[Total]]*urbanthreads_q4[[#This Row],[Disc %]]/100</f>
        <v>269.85000000000002</v>
      </c>
      <c r="Z215" s="1">
        <f>urbanthreads_q4[[#This Row],[Total]]-urbanthreads_q4[[#This Row],[Disc %]]</f>
        <v>1784</v>
      </c>
      <c r="AA215" s="1">
        <f>urbanthreads_q4[[#This Row],[Net revenue]]/urbanthreads_q4[[#This Row],[Total]]</f>
        <v>0.99166203446359091</v>
      </c>
      <c r="AB215" s="1" t="str">
        <f>TEXT(urbanthreads_q4[[#This Row],[Order Date]],"mm-yyyy")</f>
        <v>11-2024</v>
      </c>
      <c r="AC215" s="1" t="str">
        <f>YEAR(urbanthreads_q4[[#This Row],[Order Date]]) &amp; "-W" &amp; WEEKNUM(urbanthreads_q4[[#This Row],[Order Date]], 2)</f>
        <v>2024-W45</v>
      </c>
      <c r="AD215" s="1" t="str">
        <f>IF(urbanthreads_q4[[#This Row],[Payment]]="COD","COD","Prepaid")</f>
        <v>Prepaid</v>
      </c>
    </row>
    <row r="216" spans="1:30" x14ac:dyDescent="0.3">
      <c r="A216" s="1" t="s">
        <v>947</v>
      </c>
      <c r="B216" s="2">
        <v>45623</v>
      </c>
      <c r="C216" s="1" t="s">
        <v>948</v>
      </c>
      <c r="D216" s="1" t="s">
        <v>25</v>
      </c>
      <c r="E216" s="1" t="s">
        <v>949</v>
      </c>
      <c r="F216" s="1" t="s">
        <v>72</v>
      </c>
      <c r="G216" s="1" t="s">
        <v>950</v>
      </c>
      <c r="H216">
        <v>899</v>
      </c>
      <c r="I216">
        <v>2</v>
      </c>
      <c r="J216">
        <v>1798</v>
      </c>
      <c r="K216" s="1" t="s">
        <v>29</v>
      </c>
      <c r="L216">
        <v>0</v>
      </c>
      <c r="M216" s="1" t="s">
        <v>56</v>
      </c>
      <c r="N216" s="1" t="s">
        <v>45</v>
      </c>
      <c r="O216" s="1" t="s">
        <v>150</v>
      </c>
      <c r="P216" s="1" t="s">
        <v>151</v>
      </c>
      <c r="Q216" s="1" t="s">
        <v>32</v>
      </c>
      <c r="R216" s="2">
        <v>45638</v>
      </c>
      <c r="S216" s="1" t="s">
        <v>34</v>
      </c>
      <c r="T216" s="1" t="s">
        <v>35</v>
      </c>
      <c r="U216" s="1" t="s">
        <v>29</v>
      </c>
      <c r="W216" s="1" t="s">
        <v>36</v>
      </c>
      <c r="X216" s="1" t="str">
        <f>IF(urbanthreads_q4[[#This Row],[Qty]]&gt;0,"Valid","Invalid")</f>
        <v>Valid</v>
      </c>
      <c r="Y216" s="1">
        <f>urbanthreads_q4[[#This Row],[Total]]*urbanthreads_q4[[#This Row],[Disc %]]/100</f>
        <v>0</v>
      </c>
      <c r="Z216" s="1">
        <f>urbanthreads_q4[[#This Row],[Total]]-urbanthreads_q4[[#This Row],[Disc %]]</f>
        <v>1798</v>
      </c>
      <c r="AA216" s="1">
        <f>urbanthreads_q4[[#This Row],[Net revenue]]/urbanthreads_q4[[#This Row],[Total]]</f>
        <v>1</v>
      </c>
      <c r="AB216" s="1" t="str">
        <f>TEXT(urbanthreads_q4[[#This Row],[Order Date]],"mm-yyyy")</f>
        <v>11-2024</v>
      </c>
      <c r="AC216" s="1" t="str">
        <f>YEAR(urbanthreads_q4[[#This Row],[Order Date]]) &amp; "-W" &amp; WEEKNUM(urbanthreads_q4[[#This Row],[Order Date]], 2)</f>
        <v>2024-W48</v>
      </c>
      <c r="AD216" s="1" t="str">
        <f>IF(urbanthreads_q4[[#This Row],[Payment]]="COD","COD","Prepaid")</f>
        <v>COD</v>
      </c>
    </row>
    <row r="217" spans="1:30" x14ac:dyDescent="0.3">
      <c r="A217" s="1" t="s">
        <v>720</v>
      </c>
      <c r="B217" s="2">
        <v>45604</v>
      </c>
      <c r="C217" s="1" t="s">
        <v>721</v>
      </c>
      <c r="D217" s="1" t="s">
        <v>39</v>
      </c>
      <c r="E217" s="1" t="s">
        <v>722</v>
      </c>
      <c r="F217" s="1" t="s">
        <v>54</v>
      </c>
      <c r="G217" s="1" t="s">
        <v>723</v>
      </c>
      <c r="H217">
        <v>1599</v>
      </c>
      <c r="I217">
        <v>1</v>
      </c>
      <c r="J217">
        <v>1599</v>
      </c>
      <c r="K217" s="1" t="s">
        <v>29</v>
      </c>
      <c r="L217">
        <v>0</v>
      </c>
      <c r="M217" s="1" t="s">
        <v>44</v>
      </c>
      <c r="N217" s="1" t="s">
        <v>45</v>
      </c>
      <c r="O217" s="1" t="s">
        <v>144</v>
      </c>
      <c r="P217" s="1" t="s">
        <v>145</v>
      </c>
      <c r="Q217" s="1" t="s">
        <v>46</v>
      </c>
      <c r="R217" s="2">
        <v>45616</v>
      </c>
      <c r="S217" s="1" t="s">
        <v>34</v>
      </c>
      <c r="T217" s="1" t="s">
        <v>47</v>
      </c>
      <c r="U217" s="1" t="s">
        <v>80</v>
      </c>
      <c r="V217" s="2">
        <v>45644</v>
      </c>
      <c r="W217" s="1" t="s">
        <v>49</v>
      </c>
      <c r="X217" s="1" t="str">
        <f>IF(urbanthreads_q4[[#This Row],[Qty]]&gt;0,"Valid","Invalid")</f>
        <v>Valid</v>
      </c>
      <c r="Y217" s="1">
        <f>urbanthreads_q4[[#This Row],[Total]]*urbanthreads_q4[[#This Row],[Disc %]]/100</f>
        <v>0</v>
      </c>
      <c r="Z217" s="1">
        <f>urbanthreads_q4[[#This Row],[Total]]-urbanthreads_q4[[#This Row],[Disc %]]</f>
        <v>1599</v>
      </c>
      <c r="AA217" s="1">
        <f>urbanthreads_q4[[#This Row],[Net revenue]]/urbanthreads_q4[[#This Row],[Total]]</f>
        <v>1</v>
      </c>
      <c r="AB217" s="1" t="str">
        <f>TEXT(urbanthreads_q4[[#This Row],[Order Date]],"mm-yyyy")</f>
        <v>11-2024</v>
      </c>
      <c r="AC217" s="1" t="str">
        <f>YEAR(urbanthreads_q4[[#This Row],[Order Date]]) &amp; "-W" &amp; WEEKNUM(urbanthreads_q4[[#This Row],[Order Date]], 2)</f>
        <v>2024-W45</v>
      </c>
      <c r="AD217" s="1" t="str">
        <f>IF(urbanthreads_q4[[#This Row],[Payment]]="COD","COD","Prepaid")</f>
        <v>Prepaid</v>
      </c>
    </row>
    <row r="218" spans="1:30" x14ac:dyDescent="0.3">
      <c r="A218" s="1" t="s">
        <v>955</v>
      </c>
      <c r="B218" s="2">
        <v>45624</v>
      </c>
      <c r="C218" s="1" t="s">
        <v>956</v>
      </c>
      <c r="D218" s="1" t="s">
        <v>25</v>
      </c>
      <c r="E218" s="1" t="s">
        <v>957</v>
      </c>
      <c r="F218" s="1" t="s">
        <v>41</v>
      </c>
      <c r="G218" s="1" t="s">
        <v>958</v>
      </c>
      <c r="H218">
        <v>2599</v>
      </c>
      <c r="I218">
        <v>1</v>
      </c>
      <c r="J218">
        <v>2599</v>
      </c>
      <c r="K218" s="1" t="s">
        <v>703</v>
      </c>
      <c r="L218">
        <v>15</v>
      </c>
      <c r="M218" s="1" t="s">
        <v>112</v>
      </c>
      <c r="N218" s="1" t="s">
        <v>31</v>
      </c>
      <c r="O218" s="1" t="s">
        <v>161</v>
      </c>
      <c r="P218" s="1" t="s">
        <v>162</v>
      </c>
      <c r="Q218" s="1" t="s">
        <v>46</v>
      </c>
      <c r="R218" s="2">
        <v>45641</v>
      </c>
      <c r="S218" s="1" t="s">
        <v>34</v>
      </c>
      <c r="T218" s="1" t="s">
        <v>35</v>
      </c>
      <c r="U218" s="1" t="s">
        <v>29</v>
      </c>
      <c r="W218" s="1" t="s">
        <v>36</v>
      </c>
      <c r="X218" s="1" t="str">
        <f>IF(urbanthreads_q4[[#This Row],[Qty]]&gt;0,"Valid","Invalid")</f>
        <v>Valid</v>
      </c>
      <c r="Y218" s="1">
        <f>urbanthreads_q4[[#This Row],[Total]]*urbanthreads_q4[[#This Row],[Disc %]]/100</f>
        <v>389.85</v>
      </c>
      <c r="Z218" s="1">
        <f>urbanthreads_q4[[#This Row],[Total]]-urbanthreads_q4[[#This Row],[Disc %]]</f>
        <v>2584</v>
      </c>
      <c r="AA218" s="1">
        <f>urbanthreads_q4[[#This Row],[Net revenue]]/urbanthreads_q4[[#This Row],[Total]]</f>
        <v>0.99422854944209316</v>
      </c>
      <c r="AB218" s="1" t="str">
        <f>TEXT(urbanthreads_q4[[#This Row],[Order Date]],"mm-yyyy")</f>
        <v>11-2024</v>
      </c>
      <c r="AC218" s="1" t="str">
        <f>YEAR(urbanthreads_q4[[#This Row],[Order Date]]) &amp; "-W" &amp; WEEKNUM(urbanthreads_q4[[#This Row],[Order Date]], 2)</f>
        <v>2024-W48</v>
      </c>
      <c r="AD218" s="1" t="str">
        <f>IF(urbanthreads_q4[[#This Row],[Payment]]="COD","COD","Prepaid")</f>
        <v>Prepaid</v>
      </c>
    </row>
    <row r="219" spans="1:30" x14ac:dyDescent="0.3">
      <c r="A219" s="1" t="s">
        <v>728</v>
      </c>
      <c r="B219" s="2">
        <v>45605</v>
      </c>
      <c r="C219" s="1" t="s">
        <v>729</v>
      </c>
      <c r="D219" s="1" t="s">
        <v>25</v>
      </c>
      <c r="E219" s="1" t="s">
        <v>730</v>
      </c>
      <c r="F219" s="1" t="s">
        <v>72</v>
      </c>
      <c r="G219" s="1" t="s">
        <v>731</v>
      </c>
      <c r="H219">
        <v>499</v>
      </c>
      <c r="I219">
        <v>3</v>
      </c>
      <c r="J219">
        <v>1497</v>
      </c>
      <c r="K219" s="1" t="s">
        <v>29</v>
      </c>
      <c r="L219">
        <v>0</v>
      </c>
      <c r="M219" s="1" t="s">
        <v>30</v>
      </c>
      <c r="N219" s="1" t="s">
        <v>31</v>
      </c>
      <c r="O219" s="1" t="s">
        <v>156</v>
      </c>
      <c r="P219" s="1" t="s">
        <v>98</v>
      </c>
      <c r="Q219" s="1" t="s">
        <v>32</v>
      </c>
      <c r="R219" s="2">
        <v>45617</v>
      </c>
      <c r="S219" s="1" t="s">
        <v>34</v>
      </c>
      <c r="T219" s="1" t="s">
        <v>47</v>
      </c>
      <c r="U219" s="1" t="s">
        <v>139</v>
      </c>
      <c r="V219" s="2">
        <v>45645</v>
      </c>
      <c r="W219" s="1" t="s">
        <v>49</v>
      </c>
      <c r="X219" s="1" t="str">
        <f>IF(urbanthreads_q4[[#This Row],[Qty]]&gt;0,"Valid","Invalid")</f>
        <v>Valid</v>
      </c>
      <c r="Y219" s="1">
        <f>urbanthreads_q4[[#This Row],[Total]]*urbanthreads_q4[[#This Row],[Disc %]]/100</f>
        <v>0</v>
      </c>
      <c r="Z219" s="1">
        <f>urbanthreads_q4[[#This Row],[Total]]-urbanthreads_q4[[#This Row],[Disc %]]</f>
        <v>1497</v>
      </c>
      <c r="AA219" s="1">
        <f>urbanthreads_q4[[#This Row],[Net revenue]]/urbanthreads_q4[[#This Row],[Total]]</f>
        <v>1</v>
      </c>
      <c r="AB219" s="1" t="str">
        <f>TEXT(urbanthreads_q4[[#This Row],[Order Date]],"mm-yyyy")</f>
        <v>11-2024</v>
      </c>
      <c r="AC219" s="1" t="str">
        <f>YEAR(urbanthreads_q4[[#This Row],[Order Date]]) &amp; "-W" &amp; WEEKNUM(urbanthreads_q4[[#This Row],[Order Date]], 2)</f>
        <v>2024-W45</v>
      </c>
      <c r="AD219" s="1" t="str">
        <f>IF(urbanthreads_q4[[#This Row],[Payment]]="COD","COD","Prepaid")</f>
        <v>Prepaid</v>
      </c>
    </row>
    <row r="220" spans="1:30" x14ac:dyDescent="0.3">
      <c r="A220" s="1" t="s">
        <v>736</v>
      </c>
      <c r="B220" s="2">
        <v>45605</v>
      </c>
      <c r="C220" s="1" t="s">
        <v>737</v>
      </c>
      <c r="D220" s="1" t="s">
        <v>25</v>
      </c>
      <c r="E220" s="1" t="s">
        <v>738</v>
      </c>
      <c r="F220" s="1" t="s">
        <v>41</v>
      </c>
      <c r="G220" s="1" t="s">
        <v>739</v>
      </c>
      <c r="H220">
        <v>2399</v>
      </c>
      <c r="I220">
        <v>1</v>
      </c>
      <c r="J220">
        <v>2399</v>
      </c>
      <c r="K220" s="1" t="s">
        <v>703</v>
      </c>
      <c r="L220">
        <v>15</v>
      </c>
      <c r="M220" s="1" t="s">
        <v>44</v>
      </c>
      <c r="N220" s="1" t="s">
        <v>66</v>
      </c>
      <c r="O220" s="1" t="s">
        <v>167</v>
      </c>
      <c r="P220" s="1" t="s">
        <v>151</v>
      </c>
      <c r="Q220" s="1" t="s">
        <v>32</v>
      </c>
      <c r="R220" s="2">
        <v>45620</v>
      </c>
      <c r="S220" s="1" t="s">
        <v>34</v>
      </c>
      <c r="T220" s="1" t="s">
        <v>47</v>
      </c>
      <c r="U220" s="1" t="s">
        <v>48</v>
      </c>
      <c r="V220" s="2">
        <v>45648</v>
      </c>
      <c r="W220" s="1" t="s">
        <v>49</v>
      </c>
      <c r="X220" s="1" t="str">
        <f>IF(urbanthreads_q4[[#This Row],[Qty]]&gt;0,"Valid","Invalid")</f>
        <v>Valid</v>
      </c>
      <c r="Y220" s="1">
        <f>urbanthreads_q4[[#This Row],[Total]]*urbanthreads_q4[[#This Row],[Disc %]]/100</f>
        <v>359.85</v>
      </c>
      <c r="Z220" s="1">
        <f>urbanthreads_q4[[#This Row],[Total]]-urbanthreads_q4[[#This Row],[Disc %]]</f>
        <v>2384</v>
      </c>
      <c r="AA220" s="1">
        <f>urbanthreads_q4[[#This Row],[Net revenue]]/urbanthreads_q4[[#This Row],[Total]]</f>
        <v>0.9937473947478116</v>
      </c>
      <c r="AB220" s="1" t="str">
        <f>TEXT(urbanthreads_q4[[#This Row],[Order Date]],"mm-yyyy")</f>
        <v>11-2024</v>
      </c>
      <c r="AC220" s="1" t="str">
        <f>YEAR(urbanthreads_q4[[#This Row],[Order Date]]) &amp; "-W" &amp; WEEKNUM(urbanthreads_q4[[#This Row],[Order Date]], 2)</f>
        <v>2024-W45</v>
      </c>
      <c r="AD220" s="1" t="str">
        <f>IF(urbanthreads_q4[[#This Row],[Payment]]="COD","COD","Prepaid")</f>
        <v>Prepaid</v>
      </c>
    </row>
    <row r="221" spans="1:30" x14ac:dyDescent="0.3">
      <c r="A221" s="1" t="s">
        <v>967</v>
      </c>
      <c r="B221" s="2">
        <v>45625</v>
      </c>
      <c r="C221" s="1" t="s">
        <v>968</v>
      </c>
      <c r="D221" s="1" t="s">
        <v>25</v>
      </c>
      <c r="E221" s="1" t="s">
        <v>969</v>
      </c>
      <c r="F221" s="1" t="s">
        <v>72</v>
      </c>
      <c r="G221" s="1" t="s">
        <v>970</v>
      </c>
      <c r="H221">
        <v>499</v>
      </c>
      <c r="I221">
        <v>2</v>
      </c>
      <c r="J221">
        <v>998</v>
      </c>
      <c r="K221" s="1" t="s">
        <v>29</v>
      </c>
      <c r="L221">
        <v>0</v>
      </c>
      <c r="M221" s="1" t="s">
        <v>30</v>
      </c>
      <c r="N221" s="1" t="s">
        <v>31</v>
      </c>
      <c r="O221" s="1" t="s">
        <v>177</v>
      </c>
      <c r="P221" s="1" t="s">
        <v>68</v>
      </c>
      <c r="Q221" s="1" t="s">
        <v>57</v>
      </c>
      <c r="R221" s="2">
        <v>45640</v>
      </c>
      <c r="S221" s="1" t="s">
        <v>34</v>
      </c>
      <c r="T221" s="1" t="s">
        <v>35</v>
      </c>
      <c r="U221" s="1" t="s">
        <v>29</v>
      </c>
      <c r="W221" s="1" t="s">
        <v>36</v>
      </c>
      <c r="X221" s="1" t="str">
        <f>IF(urbanthreads_q4[[#This Row],[Qty]]&gt;0,"Valid","Invalid")</f>
        <v>Valid</v>
      </c>
      <c r="Y221" s="1">
        <f>urbanthreads_q4[[#This Row],[Total]]*urbanthreads_q4[[#This Row],[Disc %]]/100</f>
        <v>0</v>
      </c>
      <c r="Z221" s="1">
        <f>urbanthreads_q4[[#This Row],[Total]]-urbanthreads_q4[[#This Row],[Disc %]]</f>
        <v>998</v>
      </c>
      <c r="AA221" s="1">
        <f>urbanthreads_q4[[#This Row],[Net revenue]]/urbanthreads_q4[[#This Row],[Total]]</f>
        <v>1</v>
      </c>
      <c r="AB221" s="1" t="str">
        <f>TEXT(urbanthreads_q4[[#This Row],[Order Date]],"mm-yyyy")</f>
        <v>11-2024</v>
      </c>
      <c r="AC221" s="1" t="str">
        <f>YEAR(urbanthreads_q4[[#This Row],[Order Date]]) &amp; "-W" &amp; WEEKNUM(urbanthreads_q4[[#This Row],[Order Date]], 2)</f>
        <v>2024-W48</v>
      </c>
      <c r="AD221" s="1" t="str">
        <f>IF(urbanthreads_q4[[#This Row],[Payment]]="COD","COD","Prepaid")</f>
        <v>Prepaid</v>
      </c>
    </row>
    <row r="222" spans="1:30" x14ac:dyDescent="0.3">
      <c r="A222" s="1" t="s">
        <v>971</v>
      </c>
      <c r="B222" s="2">
        <v>45625</v>
      </c>
      <c r="C222" s="1" t="s">
        <v>972</v>
      </c>
      <c r="D222" s="1" t="s">
        <v>25</v>
      </c>
      <c r="E222" s="1" t="s">
        <v>973</v>
      </c>
      <c r="F222" s="1" t="s">
        <v>27</v>
      </c>
      <c r="G222" s="1" t="s">
        <v>974</v>
      </c>
      <c r="H222">
        <v>1999</v>
      </c>
      <c r="I222">
        <v>1</v>
      </c>
      <c r="J222">
        <v>1999</v>
      </c>
      <c r="K222" s="1" t="s">
        <v>29</v>
      </c>
      <c r="L222">
        <v>0</v>
      </c>
      <c r="M222" s="1" t="s">
        <v>56</v>
      </c>
      <c r="N222" s="1" t="s">
        <v>45</v>
      </c>
      <c r="O222" s="1" t="s">
        <v>182</v>
      </c>
      <c r="P222" s="1" t="s">
        <v>183</v>
      </c>
      <c r="Q222" s="1" t="s">
        <v>57</v>
      </c>
      <c r="S222" s="1" t="s">
        <v>121</v>
      </c>
      <c r="T222" s="1" t="s">
        <v>35</v>
      </c>
      <c r="U222" s="1" t="s">
        <v>29</v>
      </c>
      <c r="W222" s="1" t="s">
        <v>36</v>
      </c>
      <c r="X222" s="1" t="str">
        <f>IF(urbanthreads_q4[[#This Row],[Qty]]&gt;0,"Valid","Invalid")</f>
        <v>Valid</v>
      </c>
      <c r="Y222" s="1">
        <f>urbanthreads_q4[[#This Row],[Total]]*urbanthreads_q4[[#This Row],[Disc %]]/100</f>
        <v>0</v>
      </c>
      <c r="Z222" s="1">
        <f>urbanthreads_q4[[#This Row],[Total]]-urbanthreads_q4[[#This Row],[Disc %]]</f>
        <v>1999</v>
      </c>
      <c r="AA222" s="1">
        <f>urbanthreads_q4[[#This Row],[Net revenue]]/urbanthreads_q4[[#This Row],[Total]]</f>
        <v>1</v>
      </c>
      <c r="AB222" s="1" t="str">
        <f>TEXT(urbanthreads_q4[[#This Row],[Order Date]],"mm-yyyy")</f>
        <v>11-2024</v>
      </c>
      <c r="AC222" s="1" t="str">
        <f>YEAR(urbanthreads_q4[[#This Row],[Order Date]]) &amp; "-W" &amp; WEEKNUM(urbanthreads_q4[[#This Row],[Order Date]], 2)</f>
        <v>2024-W48</v>
      </c>
      <c r="AD222" s="1" t="str">
        <f>IF(urbanthreads_q4[[#This Row],[Payment]]="COD","COD","Prepaid")</f>
        <v>COD</v>
      </c>
    </row>
    <row r="223" spans="1:30" x14ac:dyDescent="0.3">
      <c r="A223" s="1" t="s">
        <v>533</v>
      </c>
      <c r="B223" s="2">
        <v>45593</v>
      </c>
      <c r="C223" s="1" t="s">
        <v>534</v>
      </c>
      <c r="D223" s="1" t="s">
        <v>25</v>
      </c>
      <c r="E223" s="1" t="s">
        <v>535</v>
      </c>
      <c r="F223" s="1" t="s">
        <v>41</v>
      </c>
      <c r="G223" s="1" t="s">
        <v>536</v>
      </c>
      <c r="H223">
        <v>3499</v>
      </c>
      <c r="I223">
        <v>1</v>
      </c>
      <c r="J223">
        <v>3499</v>
      </c>
      <c r="K223" s="1" t="s">
        <v>537</v>
      </c>
      <c r="L223">
        <v>40</v>
      </c>
      <c r="M223" s="1" t="s">
        <v>44</v>
      </c>
      <c r="N223" s="1" t="s">
        <v>31</v>
      </c>
      <c r="O223" s="1" t="s">
        <v>46</v>
      </c>
      <c r="P223" s="1" t="s">
        <v>46</v>
      </c>
      <c r="Q223" s="1" t="s">
        <v>46</v>
      </c>
      <c r="R223" s="2">
        <v>45598</v>
      </c>
      <c r="S223" s="1" t="s">
        <v>34</v>
      </c>
      <c r="T223" s="1" t="s">
        <v>47</v>
      </c>
      <c r="U223" s="1" t="s">
        <v>48</v>
      </c>
      <c r="V223" s="2">
        <v>45614</v>
      </c>
      <c r="W223" s="1" t="s">
        <v>49</v>
      </c>
      <c r="X223" s="1" t="str">
        <f>IF(urbanthreads_q4[[#This Row],[Qty]]&gt;0,"Valid","Invalid")</f>
        <v>Valid</v>
      </c>
      <c r="Y223" s="1">
        <f>urbanthreads_q4[[#This Row],[Total]]*urbanthreads_q4[[#This Row],[Disc %]]/100</f>
        <v>1399.6</v>
      </c>
      <c r="Z223" s="1">
        <f>urbanthreads_q4[[#This Row],[Total]]-urbanthreads_q4[[#This Row],[Disc %]]</f>
        <v>3459</v>
      </c>
      <c r="AA223" s="1">
        <f>urbanthreads_q4[[#This Row],[Net revenue]]/urbanthreads_q4[[#This Row],[Total]]</f>
        <v>0.98856816233209488</v>
      </c>
      <c r="AB223" s="1" t="str">
        <f>TEXT(urbanthreads_q4[[#This Row],[Order Date]],"mm-yyyy")</f>
        <v>10-2024</v>
      </c>
      <c r="AC223" s="1" t="str">
        <f>YEAR(urbanthreads_q4[[#This Row],[Order Date]]) &amp; "-W" &amp; WEEKNUM(urbanthreads_q4[[#This Row],[Order Date]], 2)</f>
        <v>2024-W44</v>
      </c>
      <c r="AD223" s="1" t="str">
        <f>IF(urbanthreads_q4[[#This Row],[Payment]]="COD","COD","Prepaid")</f>
        <v>Prepaid</v>
      </c>
    </row>
    <row r="224" spans="1:30" x14ac:dyDescent="0.3">
      <c r="A224" s="1" t="s">
        <v>979</v>
      </c>
      <c r="B224" s="2">
        <v>45626</v>
      </c>
      <c r="C224" s="1" t="s">
        <v>980</v>
      </c>
      <c r="D224" s="1" t="s">
        <v>39</v>
      </c>
      <c r="E224" s="1" t="s">
        <v>981</v>
      </c>
      <c r="F224" s="1" t="s">
        <v>54</v>
      </c>
      <c r="G224" s="1" t="s">
        <v>982</v>
      </c>
      <c r="H224">
        <v>2799</v>
      </c>
      <c r="I224">
        <v>1</v>
      </c>
      <c r="J224">
        <v>2799</v>
      </c>
      <c r="K224" s="1" t="s">
        <v>29</v>
      </c>
      <c r="L224">
        <v>0</v>
      </c>
      <c r="M224" s="1" t="s">
        <v>112</v>
      </c>
      <c r="N224" s="1" t="s">
        <v>31</v>
      </c>
      <c r="O224" s="1" t="s">
        <v>194</v>
      </c>
      <c r="P224" s="1" t="s">
        <v>183</v>
      </c>
      <c r="Q224" s="1" t="s">
        <v>57</v>
      </c>
      <c r="R224" s="2">
        <v>45641</v>
      </c>
      <c r="S224" s="1" t="s">
        <v>34</v>
      </c>
      <c r="T224" s="1" t="s">
        <v>35</v>
      </c>
      <c r="U224" s="1" t="s">
        <v>29</v>
      </c>
      <c r="W224" s="1" t="s">
        <v>36</v>
      </c>
      <c r="X224" s="1" t="str">
        <f>IF(urbanthreads_q4[[#This Row],[Qty]]&gt;0,"Valid","Invalid")</f>
        <v>Valid</v>
      </c>
      <c r="Y224" s="1">
        <f>urbanthreads_q4[[#This Row],[Total]]*urbanthreads_q4[[#This Row],[Disc %]]/100</f>
        <v>0</v>
      </c>
      <c r="Z224" s="1">
        <f>urbanthreads_q4[[#This Row],[Total]]-urbanthreads_q4[[#This Row],[Disc %]]</f>
        <v>2799</v>
      </c>
      <c r="AA224" s="1">
        <f>urbanthreads_q4[[#This Row],[Net revenue]]/urbanthreads_q4[[#This Row],[Total]]</f>
        <v>1</v>
      </c>
      <c r="AB224" s="1" t="str">
        <f>TEXT(urbanthreads_q4[[#This Row],[Order Date]],"mm-yyyy")</f>
        <v>11-2024</v>
      </c>
      <c r="AC224" s="1" t="str">
        <f>YEAR(urbanthreads_q4[[#This Row],[Order Date]]) &amp; "-W" &amp; WEEKNUM(urbanthreads_q4[[#This Row],[Order Date]], 2)</f>
        <v>2024-W48</v>
      </c>
      <c r="AD224" s="1" t="str">
        <f>IF(urbanthreads_q4[[#This Row],[Payment]]="COD","COD","Prepaid")</f>
        <v>Prepaid</v>
      </c>
    </row>
    <row r="225" spans="1:30" x14ac:dyDescent="0.3">
      <c r="A225" s="1" t="s">
        <v>538</v>
      </c>
      <c r="B225" s="2">
        <v>45593</v>
      </c>
      <c r="C225" s="1" t="s">
        <v>539</v>
      </c>
      <c r="D225" s="1" t="s">
        <v>25</v>
      </c>
      <c r="E225" s="1" t="s">
        <v>540</v>
      </c>
      <c r="F225" s="1" t="s">
        <v>62</v>
      </c>
      <c r="G225" s="1" t="s">
        <v>541</v>
      </c>
      <c r="H225">
        <v>5999</v>
      </c>
      <c r="I225">
        <v>1</v>
      </c>
      <c r="J225">
        <v>5999</v>
      </c>
      <c r="K225" s="1" t="s">
        <v>537</v>
      </c>
      <c r="L225">
        <v>40</v>
      </c>
      <c r="M225" s="1" t="s">
        <v>56</v>
      </c>
      <c r="N225" s="1" t="s">
        <v>45</v>
      </c>
      <c r="O225" s="1" t="s">
        <v>32</v>
      </c>
      <c r="P225" s="1" t="s">
        <v>33</v>
      </c>
      <c r="Q225" s="1" t="s">
        <v>32</v>
      </c>
      <c r="R225" s="2">
        <v>45599</v>
      </c>
      <c r="S225" s="1" t="s">
        <v>34</v>
      </c>
      <c r="T225" s="1" t="s">
        <v>47</v>
      </c>
      <c r="U225" s="1" t="s">
        <v>105</v>
      </c>
      <c r="V225" s="2">
        <v>45616</v>
      </c>
      <c r="W225" s="1" t="s">
        <v>49</v>
      </c>
      <c r="X225" s="1" t="str">
        <f>IF(urbanthreads_q4[[#This Row],[Qty]]&gt;0,"Valid","Invalid")</f>
        <v>Valid</v>
      </c>
      <c r="Y225" s="1">
        <f>urbanthreads_q4[[#This Row],[Total]]*urbanthreads_q4[[#This Row],[Disc %]]/100</f>
        <v>2399.6</v>
      </c>
      <c r="Z225" s="1">
        <f>urbanthreads_q4[[#This Row],[Total]]-urbanthreads_q4[[#This Row],[Disc %]]</f>
        <v>5959</v>
      </c>
      <c r="AA225" s="1">
        <f>urbanthreads_q4[[#This Row],[Net revenue]]/urbanthreads_q4[[#This Row],[Total]]</f>
        <v>0.99333222203700622</v>
      </c>
      <c r="AB225" s="1" t="str">
        <f>TEXT(urbanthreads_q4[[#This Row],[Order Date]],"mm-yyyy")</f>
        <v>10-2024</v>
      </c>
      <c r="AC225" s="1" t="str">
        <f>YEAR(urbanthreads_q4[[#This Row],[Order Date]]) &amp; "-W" &amp; WEEKNUM(urbanthreads_q4[[#This Row],[Order Date]], 2)</f>
        <v>2024-W44</v>
      </c>
      <c r="AD225" s="1" t="str">
        <f>IF(urbanthreads_q4[[#This Row],[Payment]]="COD","COD","Prepaid")</f>
        <v>COD</v>
      </c>
    </row>
    <row r="226" spans="1:30" x14ac:dyDescent="0.3">
      <c r="A226" s="1" t="s">
        <v>542</v>
      </c>
      <c r="B226" s="2">
        <v>45593</v>
      </c>
      <c r="C226" s="1" t="s">
        <v>543</v>
      </c>
      <c r="D226" s="1" t="s">
        <v>25</v>
      </c>
      <c r="E226" s="1" t="s">
        <v>544</v>
      </c>
      <c r="F226" s="1" t="s">
        <v>27</v>
      </c>
      <c r="G226" s="1" t="s">
        <v>545</v>
      </c>
      <c r="H226">
        <v>2299</v>
      </c>
      <c r="I226">
        <v>2</v>
      </c>
      <c r="J226">
        <v>4598</v>
      </c>
      <c r="K226" s="1" t="s">
        <v>537</v>
      </c>
      <c r="L226">
        <v>40</v>
      </c>
      <c r="M226" s="1" t="s">
        <v>30</v>
      </c>
      <c r="N226" s="1" t="s">
        <v>66</v>
      </c>
      <c r="O226" s="1" t="s">
        <v>103</v>
      </c>
      <c r="P226" s="1" t="s">
        <v>104</v>
      </c>
      <c r="Q226" s="1" t="s">
        <v>46</v>
      </c>
      <c r="R226" s="2">
        <v>45600</v>
      </c>
      <c r="S226" s="1" t="s">
        <v>34</v>
      </c>
      <c r="T226" s="1" t="s">
        <v>47</v>
      </c>
      <c r="U226" s="1" t="s">
        <v>48</v>
      </c>
      <c r="V226" s="2">
        <v>45618</v>
      </c>
      <c r="W226" s="1" t="s">
        <v>49</v>
      </c>
      <c r="X226" s="1" t="str">
        <f>IF(urbanthreads_q4[[#This Row],[Qty]]&gt;0,"Valid","Invalid")</f>
        <v>Valid</v>
      </c>
      <c r="Y226" s="1">
        <f>urbanthreads_q4[[#This Row],[Total]]*urbanthreads_q4[[#This Row],[Disc %]]/100</f>
        <v>1839.2</v>
      </c>
      <c r="Z226" s="1">
        <f>urbanthreads_q4[[#This Row],[Total]]-urbanthreads_q4[[#This Row],[Disc %]]</f>
        <v>4558</v>
      </c>
      <c r="AA226" s="1">
        <f>urbanthreads_q4[[#This Row],[Net revenue]]/urbanthreads_q4[[#This Row],[Total]]</f>
        <v>0.99130056546324485</v>
      </c>
      <c r="AB226" s="1" t="str">
        <f>TEXT(urbanthreads_q4[[#This Row],[Order Date]],"mm-yyyy")</f>
        <v>10-2024</v>
      </c>
      <c r="AC226" s="1" t="str">
        <f>YEAR(urbanthreads_q4[[#This Row],[Order Date]]) &amp; "-W" &amp; WEEKNUM(urbanthreads_q4[[#This Row],[Order Date]], 2)</f>
        <v>2024-W44</v>
      </c>
      <c r="AD226" s="1" t="str">
        <f>IF(urbanthreads_q4[[#This Row],[Payment]]="COD","COD","Prepaid")</f>
        <v>Prepaid</v>
      </c>
    </row>
    <row r="227" spans="1:30" x14ac:dyDescent="0.3">
      <c r="A227" s="1" t="s">
        <v>991</v>
      </c>
      <c r="B227" s="2">
        <v>45627</v>
      </c>
      <c r="C227" s="1" t="s">
        <v>992</v>
      </c>
      <c r="D227" s="1" t="s">
        <v>25</v>
      </c>
      <c r="E227" s="1" t="s">
        <v>993</v>
      </c>
      <c r="F227" s="1" t="s">
        <v>27</v>
      </c>
      <c r="G227" s="1" t="s">
        <v>994</v>
      </c>
      <c r="H227">
        <v>2499</v>
      </c>
      <c r="I227">
        <v>1</v>
      </c>
      <c r="J227">
        <v>2499</v>
      </c>
      <c r="K227" s="1" t="s">
        <v>995</v>
      </c>
      <c r="L227">
        <v>20</v>
      </c>
      <c r="M227" s="1" t="s">
        <v>44</v>
      </c>
      <c r="N227" s="1" t="s">
        <v>31</v>
      </c>
      <c r="O227" s="1" t="s">
        <v>32</v>
      </c>
      <c r="P227" s="1" t="s">
        <v>33</v>
      </c>
      <c r="Q227" s="1" t="s">
        <v>32</v>
      </c>
      <c r="R227" s="2">
        <v>45632</v>
      </c>
      <c r="S227" s="1" t="s">
        <v>34</v>
      </c>
      <c r="T227" s="1" t="s">
        <v>35</v>
      </c>
      <c r="U227" s="1" t="s">
        <v>29</v>
      </c>
      <c r="W227" s="1" t="s">
        <v>36</v>
      </c>
      <c r="X227" s="1" t="str">
        <f>IF(urbanthreads_q4[[#This Row],[Qty]]&gt;0,"Valid","Invalid")</f>
        <v>Valid</v>
      </c>
      <c r="Y227" s="1">
        <f>urbanthreads_q4[[#This Row],[Total]]*urbanthreads_q4[[#This Row],[Disc %]]/100</f>
        <v>499.8</v>
      </c>
      <c r="Z227" s="1">
        <f>urbanthreads_q4[[#This Row],[Total]]-urbanthreads_q4[[#This Row],[Disc %]]</f>
        <v>2479</v>
      </c>
      <c r="AA227" s="1">
        <f>urbanthreads_q4[[#This Row],[Net revenue]]/urbanthreads_q4[[#This Row],[Total]]</f>
        <v>0.99199679871948776</v>
      </c>
      <c r="AB227" s="1" t="str">
        <f>TEXT(urbanthreads_q4[[#This Row],[Order Date]],"mm-yyyy")</f>
        <v>12-2024</v>
      </c>
      <c r="AC227" s="1" t="str">
        <f>YEAR(urbanthreads_q4[[#This Row],[Order Date]]) &amp; "-W" &amp; WEEKNUM(urbanthreads_q4[[#This Row],[Order Date]], 2)</f>
        <v>2024-W48</v>
      </c>
      <c r="AD227" s="1" t="str">
        <f>IF(urbanthreads_q4[[#This Row],[Payment]]="COD","COD","Prepaid")</f>
        <v>Prepaid</v>
      </c>
    </row>
    <row r="228" spans="1:30" x14ac:dyDescent="0.3">
      <c r="A228" s="1" t="s">
        <v>552</v>
      </c>
      <c r="B228" s="2">
        <v>45594</v>
      </c>
      <c r="C228" s="1" t="s">
        <v>553</v>
      </c>
      <c r="D228" s="1" t="s">
        <v>25</v>
      </c>
      <c r="E228" s="1" t="s">
        <v>554</v>
      </c>
      <c r="F228" s="1" t="s">
        <v>41</v>
      </c>
      <c r="G228" s="1" t="s">
        <v>555</v>
      </c>
      <c r="H228">
        <v>4299</v>
      </c>
      <c r="I228">
        <v>1</v>
      </c>
      <c r="J228">
        <v>4299</v>
      </c>
      <c r="K228" s="1" t="s">
        <v>537</v>
      </c>
      <c r="L228">
        <v>40</v>
      </c>
      <c r="M228" s="1" t="s">
        <v>65</v>
      </c>
      <c r="N228" s="1" t="s">
        <v>31</v>
      </c>
      <c r="O228" s="1" t="s">
        <v>78</v>
      </c>
      <c r="P228" s="1" t="s">
        <v>79</v>
      </c>
      <c r="Q228" s="1" t="s">
        <v>57</v>
      </c>
      <c r="R228" s="2">
        <v>45601</v>
      </c>
      <c r="S228" s="1" t="s">
        <v>34</v>
      </c>
      <c r="T228" s="1" t="s">
        <v>47</v>
      </c>
      <c r="U228" s="1" t="s">
        <v>69</v>
      </c>
      <c r="V228" s="2">
        <v>45621</v>
      </c>
      <c r="W228" s="1" t="s">
        <v>49</v>
      </c>
      <c r="X228" s="1" t="str">
        <f>IF(urbanthreads_q4[[#This Row],[Qty]]&gt;0,"Valid","Invalid")</f>
        <v>Valid</v>
      </c>
      <c r="Y228" s="1">
        <f>urbanthreads_q4[[#This Row],[Total]]*urbanthreads_q4[[#This Row],[Disc %]]/100</f>
        <v>1719.6</v>
      </c>
      <c r="Z228" s="1">
        <f>urbanthreads_q4[[#This Row],[Total]]-urbanthreads_q4[[#This Row],[Disc %]]</f>
        <v>4259</v>
      </c>
      <c r="AA228" s="1">
        <f>urbanthreads_q4[[#This Row],[Net revenue]]/urbanthreads_q4[[#This Row],[Total]]</f>
        <v>0.99069551058385674</v>
      </c>
      <c r="AB228" s="1" t="str">
        <f>TEXT(urbanthreads_q4[[#This Row],[Order Date]],"mm-yyyy")</f>
        <v>10-2024</v>
      </c>
      <c r="AC228" s="1" t="str">
        <f>YEAR(urbanthreads_q4[[#This Row],[Order Date]]) &amp; "-W" &amp; WEEKNUM(urbanthreads_q4[[#This Row],[Order Date]], 2)</f>
        <v>2024-W44</v>
      </c>
      <c r="AD228" s="1" t="str">
        <f>IF(urbanthreads_q4[[#This Row],[Payment]]="COD","COD","Prepaid")</f>
        <v>Prepaid</v>
      </c>
    </row>
    <row r="229" spans="1:30" x14ac:dyDescent="0.3">
      <c r="A229" s="1" t="s">
        <v>1000</v>
      </c>
      <c r="B229" s="2">
        <v>45627</v>
      </c>
      <c r="C229" s="1" t="s">
        <v>1001</v>
      </c>
      <c r="D229" s="1" t="s">
        <v>39</v>
      </c>
      <c r="E229" s="1" t="s">
        <v>1002</v>
      </c>
      <c r="F229" s="1" t="s">
        <v>72</v>
      </c>
      <c r="G229" s="1" t="s">
        <v>1003</v>
      </c>
      <c r="H229">
        <v>1499</v>
      </c>
      <c r="I229">
        <v>1</v>
      </c>
      <c r="J229">
        <v>1499</v>
      </c>
      <c r="K229" s="1" t="s">
        <v>29</v>
      </c>
      <c r="L229">
        <v>0</v>
      </c>
      <c r="M229" s="1" t="s">
        <v>30</v>
      </c>
      <c r="N229" s="1" t="s">
        <v>66</v>
      </c>
      <c r="O229" s="1" t="s">
        <v>119</v>
      </c>
      <c r="P229" s="1" t="s">
        <v>120</v>
      </c>
      <c r="Q229" s="1" t="s">
        <v>46</v>
      </c>
      <c r="R229" s="2">
        <v>45633</v>
      </c>
      <c r="S229" s="1" t="s">
        <v>34</v>
      </c>
      <c r="T229" s="1" t="s">
        <v>35</v>
      </c>
      <c r="U229" s="1" t="s">
        <v>29</v>
      </c>
      <c r="W229" s="1" t="s">
        <v>36</v>
      </c>
      <c r="X229" s="1" t="str">
        <f>IF(urbanthreads_q4[[#This Row],[Qty]]&gt;0,"Valid","Invalid")</f>
        <v>Valid</v>
      </c>
      <c r="Y229" s="1">
        <f>urbanthreads_q4[[#This Row],[Total]]*urbanthreads_q4[[#This Row],[Disc %]]/100</f>
        <v>0</v>
      </c>
      <c r="Z229" s="1">
        <f>urbanthreads_q4[[#This Row],[Total]]-urbanthreads_q4[[#This Row],[Disc %]]</f>
        <v>1499</v>
      </c>
      <c r="AA229" s="1">
        <f>urbanthreads_q4[[#This Row],[Net revenue]]/urbanthreads_q4[[#This Row],[Total]]</f>
        <v>1</v>
      </c>
      <c r="AB229" s="1" t="str">
        <f>TEXT(urbanthreads_q4[[#This Row],[Order Date]],"mm-yyyy")</f>
        <v>12-2024</v>
      </c>
      <c r="AC229" s="1" t="str">
        <f>YEAR(urbanthreads_q4[[#This Row],[Order Date]]) &amp; "-W" &amp; WEEKNUM(urbanthreads_q4[[#This Row],[Order Date]], 2)</f>
        <v>2024-W48</v>
      </c>
      <c r="AD229" s="1" t="str">
        <f>IF(urbanthreads_q4[[#This Row],[Payment]]="COD","COD","Prepaid")</f>
        <v>Prepaid</v>
      </c>
    </row>
    <row r="230" spans="1:30" x14ac:dyDescent="0.3">
      <c r="A230" s="1" t="s">
        <v>556</v>
      </c>
      <c r="B230" s="2">
        <v>45594</v>
      </c>
      <c r="C230" s="1" t="s">
        <v>557</v>
      </c>
      <c r="D230" s="1" t="s">
        <v>25</v>
      </c>
      <c r="E230" s="1" t="s">
        <v>558</v>
      </c>
      <c r="F230" s="1" t="s">
        <v>27</v>
      </c>
      <c r="G230" s="1" t="s">
        <v>559</v>
      </c>
      <c r="H230">
        <v>2599</v>
      </c>
      <c r="I230">
        <v>1</v>
      </c>
      <c r="J230">
        <v>2599</v>
      </c>
      <c r="K230" s="1" t="s">
        <v>537</v>
      </c>
      <c r="L230">
        <v>40</v>
      </c>
      <c r="M230" s="1" t="s">
        <v>30</v>
      </c>
      <c r="N230" s="1" t="s">
        <v>66</v>
      </c>
      <c r="O230" s="1" t="s">
        <v>85</v>
      </c>
      <c r="P230" s="1" t="s">
        <v>33</v>
      </c>
      <c r="Q230" s="1" t="s">
        <v>32</v>
      </c>
      <c r="R230" s="2">
        <v>45602</v>
      </c>
      <c r="S230" s="1" t="s">
        <v>34</v>
      </c>
      <c r="T230" s="1" t="s">
        <v>47</v>
      </c>
      <c r="U230" s="1" t="s">
        <v>80</v>
      </c>
      <c r="V230" s="2">
        <v>45624</v>
      </c>
      <c r="W230" s="1" t="s">
        <v>106</v>
      </c>
      <c r="X230" s="1" t="str">
        <f>IF(urbanthreads_q4[[#This Row],[Qty]]&gt;0,"Valid","Invalid")</f>
        <v>Valid</v>
      </c>
      <c r="Y230" s="1">
        <f>urbanthreads_q4[[#This Row],[Total]]*urbanthreads_q4[[#This Row],[Disc %]]/100</f>
        <v>1039.5999999999999</v>
      </c>
      <c r="Z230" s="1">
        <f>urbanthreads_q4[[#This Row],[Total]]-urbanthreads_q4[[#This Row],[Disc %]]</f>
        <v>2559</v>
      </c>
      <c r="AA230" s="1">
        <f>urbanthreads_q4[[#This Row],[Net revenue]]/urbanthreads_q4[[#This Row],[Total]]</f>
        <v>0.98460946517891501</v>
      </c>
      <c r="AB230" s="1" t="str">
        <f>TEXT(urbanthreads_q4[[#This Row],[Order Date]],"mm-yyyy")</f>
        <v>10-2024</v>
      </c>
      <c r="AC230" s="1" t="str">
        <f>YEAR(urbanthreads_q4[[#This Row],[Order Date]]) &amp; "-W" &amp; WEEKNUM(urbanthreads_q4[[#This Row],[Order Date]], 2)</f>
        <v>2024-W44</v>
      </c>
      <c r="AD230" s="1" t="str">
        <f>IF(urbanthreads_q4[[#This Row],[Payment]]="COD","COD","Prepaid")</f>
        <v>Prepaid</v>
      </c>
    </row>
    <row r="231" spans="1:30" x14ac:dyDescent="0.3">
      <c r="A231" s="1" t="s">
        <v>1008</v>
      </c>
      <c r="B231" s="2">
        <v>45628</v>
      </c>
      <c r="C231" s="1" t="s">
        <v>1009</v>
      </c>
      <c r="D231" s="1" t="s">
        <v>25</v>
      </c>
      <c r="E231" s="1" t="s">
        <v>1010</v>
      </c>
      <c r="F231" s="1" t="s">
        <v>27</v>
      </c>
      <c r="G231" s="1" t="s">
        <v>1011</v>
      </c>
      <c r="H231">
        <v>1599</v>
      </c>
      <c r="I231">
        <v>2</v>
      </c>
      <c r="J231">
        <v>3198</v>
      </c>
      <c r="K231" s="1" t="s">
        <v>29</v>
      </c>
      <c r="L231">
        <v>0</v>
      </c>
      <c r="M231" s="1" t="s">
        <v>44</v>
      </c>
      <c r="N231" s="1" t="s">
        <v>45</v>
      </c>
      <c r="O231" s="1" t="s">
        <v>1012</v>
      </c>
      <c r="P231" s="1" t="s">
        <v>1013</v>
      </c>
      <c r="Q231" s="1" t="s">
        <v>46</v>
      </c>
      <c r="R231" s="2">
        <v>45635</v>
      </c>
      <c r="S231" s="1" t="s">
        <v>34</v>
      </c>
      <c r="T231" s="1" t="s">
        <v>35</v>
      </c>
      <c r="U231" s="1" t="s">
        <v>29</v>
      </c>
      <c r="W231" s="1" t="s">
        <v>36</v>
      </c>
      <c r="X231" s="1" t="str">
        <f>IF(urbanthreads_q4[[#This Row],[Qty]]&gt;0,"Valid","Invalid")</f>
        <v>Valid</v>
      </c>
      <c r="Y231" s="1">
        <f>urbanthreads_q4[[#This Row],[Total]]*urbanthreads_q4[[#This Row],[Disc %]]/100</f>
        <v>0</v>
      </c>
      <c r="Z231" s="1">
        <f>urbanthreads_q4[[#This Row],[Total]]-urbanthreads_q4[[#This Row],[Disc %]]</f>
        <v>3198</v>
      </c>
      <c r="AA231" s="1">
        <f>urbanthreads_q4[[#This Row],[Net revenue]]/urbanthreads_q4[[#This Row],[Total]]</f>
        <v>1</v>
      </c>
      <c r="AB231" s="1" t="str">
        <f>TEXT(urbanthreads_q4[[#This Row],[Order Date]],"mm-yyyy")</f>
        <v>12-2024</v>
      </c>
      <c r="AC231" s="1" t="str">
        <f>YEAR(urbanthreads_q4[[#This Row],[Order Date]]) &amp; "-W" &amp; WEEKNUM(urbanthreads_q4[[#This Row],[Order Date]], 2)</f>
        <v>2024-W49</v>
      </c>
      <c r="AD231" s="1" t="str">
        <f>IF(urbanthreads_q4[[#This Row],[Payment]]="COD","COD","Prepaid")</f>
        <v>Prepaid</v>
      </c>
    </row>
    <row r="232" spans="1:30" x14ac:dyDescent="0.3">
      <c r="A232" s="1" t="s">
        <v>1014</v>
      </c>
      <c r="B232" s="2">
        <v>45628</v>
      </c>
      <c r="C232" s="1" t="s">
        <v>1015</v>
      </c>
      <c r="D232" s="1" t="s">
        <v>25</v>
      </c>
      <c r="E232" s="1" t="s">
        <v>1016</v>
      </c>
      <c r="F232" s="1" t="s">
        <v>54</v>
      </c>
      <c r="G232" s="1" t="s">
        <v>1017</v>
      </c>
      <c r="H232">
        <v>1799</v>
      </c>
      <c r="I232">
        <v>1</v>
      </c>
      <c r="J232">
        <v>1799</v>
      </c>
      <c r="K232" s="1" t="s">
        <v>995</v>
      </c>
      <c r="L232">
        <v>20</v>
      </c>
      <c r="M232" s="1" t="s">
        <v>112</v>
      </c>
      <c r="N232" s="1" t="s">
        <v>66</v>
      </c>
      <c r="O232" s="1" t="s">
        <v>1018</v>
      </c>
      <c r="P232" s="1" t="s">
        <v>1019</v>
      </c>
      <c r="Q232" s="1" t="s">
        <v>46</v>
      </c>
      <c r="R232" s="2">
        <v>45636</v>
      </c>
      <c r="S232" s="1" t="s">
        <v>34</v>
      </c>
      <c r="T232" s="1" t="s">
        <v>35</v>
      </c>
      <c r="U232" s="1" t="s">
        <v>29</v>
      </c>
      <c r="W232" s="1" t="s">
        <v>36</v>
      </c>
      <c r="X232" s="1" t="str">
        <f>IF(urbanthreads_q4[[#This Row],[Qty]]&gt;0,"Valid","Invalid")</f>
        <v>Valid</v>
      </c>
      <c r="Y232" s="1">
        <f>urbanthreads_q4[[#This Row],[Total]]*urbanthreads_q4[[#This Row],[Disc %]]/100</f>
        <v>359.8</v>
      </c>
      <c r="Z232" s="1">
        <f>urbanthreads_q4[[#This Row],[Total]]-urbanthreads_q4[[#This Row],[Disc %]]</f>
        <v>1779</v>
      </c>
      <c r="AA232" s="1">
        <f>urbanthreads_q4[[#This Row],[Net revenue]]/urbanthreads_q4[[#This Row],[Total]]</f>
        <v>0.98888271261812122</v>
      </c>
      <c r="AB232" s="1" t="str">
        <f>TEXT(urbanthreads_q4[[#This Row],[Order Date]],"mm-yyyy")</f>
        <v>12-2024</v>
      </c>
      <c r="AC232" s="1" t="str">
        <f>YEAR(urbanthreads_q4[[#This Row],[Order Date]]) &amp; "-W" &amp; WEEKNUM(urbanthreads_q4[[#This Row],[Order Date]], 2)</f>
        <v>2024-W49</v>
      </c>
      <c r="AD232" s="1" t="str">
        <f>IF(urbanthreads_q4[[#This Row],[Payment]]="COD","COD","Prepaid")</f>
        <v>Prepaid</v>
      </c>
    </row>
    <row r="233" spans="1:30" x14ac:dyDescent="0.3">
      <c r="A233" s="1" t="s">
        <v>560</v>
      </c>
      <c r="B233" s="2">
        <v>45594</v>
      </c>
      <c r="C233" s="1" t="s">
        <v>561</v>
      </c>
      <c r="D233" s="1" t="s">
        <v>25</v>
      </c>
      <c r="E233" s="1" t="s">
        <v>484</v>
      </c>
      <c r="F233" s="1" t="s">
        <v>62</v>
      </c>
      <c r="G233" s="1" t="s">
        <v>562</v>
      </c>
      <c r="H233">
        <v>3999</v>
      </c>
      <c r="I233">
        <v>1</v>
      </c>
      <c r="J233">
        <v>3999</v>
      </c>
      <c r="K233" s="1" t="s">
        <v>537</v>
      </c>
      <c r="L233">
        <v>40</v>
      </c>
      <c r="M233" s="1" t="s">
        <v>44</v>
      </c>
      <c r="N233" s="1" t="s">
        <v>45</v>
      </c>
      <c r="O233" s="1" t="s">
        <v>563</v>
      </c>
      <c r="P233" s="1" t="s">
        <v>120</v>
      </c>
      <c r="Q233" s="1" t="s">
        <v>46</v>
      </c>
      <c r="R233" s="2">
        <v>45603</v>
      </c>
      <c r="S233" s="1" t="s">
        <v>34</v>
      </c>
      <c r="T233" s="1" t="s">
        <v>47</v>
      </c>
      <c r="U233" s="1" t="s">
        <v>48</v>
      </c>
      <c r="V233" s="2">
        <v>45627</v>
      </c>
      <c r="W233" s="1" t="s">
        <v>49</v>
      </c>
      <c r="X233" s="1" t="str">
        <f>IF(urbanthreads_q4[[#This Row],[Qty]]&gt;0,"Valid","Invalid")</f>
        <v>Valid</v>
      </c>
      <c r="Y233" s="1">
        <f>urbanthreads_q4[[#This Row],[Total]]*urbanthreads_q4[[#This Row],[Disc %]]/100</f>
        <v>1599.6</v>
      </c>
      <c r="Z233" s="1">
        <f>urbanthreads_q4[[#This Row],[Total]]-urbanthreads_q4[[#This Row],[Disc %]]</f>
        <v>3959</v>
      </c>
      <c r="AA233" s="1">
        <f>urbanthreads_q4[[#This Row],[Net revenue]]/urbanthreads_q4[[#This Row],[Total]]</f>
        <v>0.98999749937484371</v>
      </c>
      <c r="AB233" s="1" t="str">
        <f>TEXT(urbanthreads_q4[[#This Row],[Order Date]],"mm-yyyy")</f>
        <v>10-2024</v>
      </c>
      <c r="AC233" s="1" t="str">
        <f>YEAR(urbanthreads_q4[[#This Row],[Order Date]]) &amp; "-W" &amp; WEEKNUM(urbanthreads_q4[[#This Row],[Order Date]], 2)</f>
        <v>2024-W44</v>
      </c>
      <c r="AD233" s="1" t="str">
        <f>IF(urbanthreads_q4[[#This Row],[Payment]]="COD","COD","Prepaid")</f>
        <v>Prepaid</v>
      </c>
    </row>
    <row r="234" spans="1:30" x14ac:dyDescent="0.3">
      <c r="A234" s="1" t="s">
        <v>1024</v>
      </c>
      <c r="B234" s="2">
        <v>45628</v>
      </c>
      <c r="C234" s="1" t="s">
        <v>1025</v>
      </c>
      <c r="D234" s="1" t="s">
        <v>39</v>
      </c>
      <c r="E234" s="1" t="s">
        <v>1026</v>
      </c>
      <c r="F234" s="1" t="s">
        <v>72</v>
      </c>
      <c r="G234" s="1" t="s">
        <v>1027</v>
      </c>
      <c r="H234">
        <v>599</v>
      </c>
      <c r="I234">
        <v>2</v>
      </c>
      <c r="J234">
        <v>1198</v>
      </c>
      <c r="K234" s="1" t="s">
        <v>995</v>
      </c>
      <c r="L234">
        <v>20</v>
      </c>
      <c r="M234" s="1" t="s">
        <v>56</v>
      </c>
      <c r="N234" s="1" t="s">
        <v>45</v>
      </c>
      <c r="O234" s="1" t="s">
        <v>1028</v>
      </c>
      <c r="P234" s="1" t="s">
        <v>1013</v>
      </c>
      <c r="Q234" s="1" t="s">
        <v>46</v>
      </c>
      <c r="R234" s="2">
        <v>45636</v>
      </c>
      <c r="S234" s="1" t="s">
        <v>34</v>
      </c>
      <c r="T234" s="1" t="s">
        <v>35</v>
      </c>
      <c r="U234" s="1" t="s">
        <v>29</v>
      </c>
      <c r="W234" s="1" t="s">
        <v>36</v>
      </c>
      <c r="X234" s="1" t="str">
        <f>IF(urbanthreads_q4[[#This Row],[Qty]]&gt;0,"Valid","Invalid")</f>
        <v>Valid</v>
      </c>
      <c r="Y234" s="1">
        <f>urbanthreads_q4[[#This Row],[Total]]*urbanthreads_q4[[#This Row],[Disc %]]/100</f>
        <v>239.6</v>
      </c>
      <c r="Z234" s="1">
        <f>urbanthreads_q4[[#This Row],[Total]]-urbanthreads_q4[[#This Row],[Disc %]]</f>
        <v>1178</v>
      </c>
      <c r="AA234" s="1">
        <f>urbanthreads_q4[[#This Row],[Net revenue]]/urbanthreads_q4[[#This Row],[Total]]</f>
        <v>0.98330550918196991</v>
      </c>
      <c r="AB234" s="1" t="str">
        <f>TEXT(urbanthreads_q4[[#This Row],[Order Date]],"mm-yyyy")</f>
        <v>12-2024</v>
      </c>
      <c r="AC234" s="1" t="str">
        <f>YEAR(urbanthreads_q4[[#This Row],[Order Date]]) &amp; "-W" &amp; WEEKNUM(urbanthreads_q4[[#This Row],[Order Date]], 2)</f>
        <v>2024-W49</v>
      </c>
      <c r="AD234" s="1" t="str">
        <f>IF(urbanthreads_q4[[#This Row],[Payment]]="COD","COD","Prepaid")</f>
        <v>COD</v>
      </c>
    </row>
    <row r="235" spans="1:30" x14ac:dyDescent="0.3">
      <c r="A235" s="1" t="s">
        <v>564</v>
      </c>
      <c r="B235" s="2">
        <v>45594</v>
      </c>
      <c r="C235" s="1" t="s">
        <v>565</v>
      </c>
      <c r="D235" s="1" t="s">
        <v>39</v>
      </c>
      <c r="E235" s="1" t="s">
        <v>566</v>
      </c>
      <c r="F235" s="1" t="s">
        <v>41</v>
      </c>
      <c r="G235" s="1" t="s">
        <v>567</v>
      </c>
      <c r="H235">
        <v>8999</v>
      </c>
      <c r="I235">
        <v>1</v>
      </c>
      <c r="J235">
        <v>8999</v>
      </c>
      <c r="K235" s="1" t="s">
        <v>537</v>
      </c>
      <c r="L235">
        <v>40</v>
      </c>
      <c r="M235" s="1" t="s">
        <v>44</v>
      </c>
      <c r="N235" s="1" t="s">
        <v>31</v>
      </c>
      <c r="O235" s="1" t="s">
        <v>97</v>
      </c>
      <c r="P235" s="1" t="s">
        <v>98</v>
      </c>
      <c r="Q235" s="1" t="s">
        <v>32</v>
      </c>
      <c r="R235" s="2">
        <v>45602</v>
      </c>
      <c r="S235" s="1" t="s">
        <v>34</v>
      </c>
      <c r="T235" s="1" t="s">
        <v>47</v>
      </c>
      <c r="U235" s="1" t="s">
        <v>48</v>
      </c>
      <c r="V235" s="2">
        <v>45628</v>
      </c>
      <c r="W235" s="1" t="s">
        <v>49</v>
      </c>
      <c r="X235" s="1" t="str">
        <f>IF(urbanthreads_q4[[#This Row],[Qty]]&gt;0,"Valid","Invalid")</f>
        <v>Valid</v>
      </c>
      <c r="Y235" s="1">
        <f>urbanthreads_q4[[#This Row],[Total]]*urbanthreads_q4[[#This Row],[Disc %]]/100</f>
        <v>3599.6</v>
      </c>
      <c r="Z235" s="1">
        <f>urbanthreads_q4[[#This Row],[Total]]-urbanthreads_q4[[#This Row],[Disc %]]</f>
        <v>8959</v>
      </c>
      <c r="AA235" s="1">
        <f>urbanthreads_q4[[#This Row],[Net revenue]]/urbanthreads_q4[[#This Row],[Total]]</f>
        <v>0.99555506167351926</v>
      </c>
      <c r="AB235" s="1" t="str">
        <f>TEXT(urbanthreads_q4[[#This Row],[Order Date]],"mm-yyyy")</f>
        <v>10-2024</v>
      </c>
      <c r="AC235" s="1" t="str">
        <f>YEAR(urbanthreads_q4[[#This Row],[Order Date]]) &amp; "-W" &amp; WEEKNUM(urbanthreads_q4[[#This Row],[Order Date]], 2)</f>
        <v>2024-W44</v>
      </c>
      <c r="AD235" s="1" t="str">
        <f>IF(urbanthreads_q4[[#This Row],[Payment]]="COD","COD","Prepaid")</f>
        <v>Prepaid</v>
      </c>
    </row>
    <row r="236" spans="1:30" x14ac:dyDescent="0.3">
      <c r="A236" s="1" t="s">
        <v>1034</v>
      </c>
      <c r="B236" s="2">
        <v>45629</v>
      </c>
      <c r="C236" s="1" t="s">
        <v>1035</v>
      </c>
      <c r="D236" s="1" t="s">
        <v>25</v>
      </c>
      <c r="E236" s="1" t="s">
        <v>1036</v>
      </c>
      <c r="F236" s="1" t="s">
        <v>41</v>
      </c>
      <c r="G236" s="1" t="s">
        <v>278</v>
      </c>
      <c r="H236">
        <v>2499</v>
      </c>
      <c r="I236">
        <v>1</v>
      </c>
      <c r="J236">
        <v>2499</v>
      </c>
      <c r="K236" s="1" t="s">
        <v>995</v>
      </c>
      <c r="L236">
        <v>20</v>
      </c>
      <c r="M236" s="1" t="s">
        <v>44</v>
      </c>
      <c r="N236" s="1" t="s">
        <v>31</v>
      </c>
      <c r="O236" s="1" t="s">
        <v>1037</v>
      </c>
      <c r="P236" s="1" t="s">
        <v>1038</v>
      </c>
      <c r="Q236" s="1" t="s">
        <v>46</v>
      </c>
      <c r="R236" s="2">
        <v>45638</v>
      </c>
      <c r="S236" s="1" t="s">
        <v>34</v>
      </c>
      <c r="T236" s="1" t="s">
        <v>35</v>
      </c>
      <c r="U236" s="1" t="s">
        <v>29</v>
      </c>
      <c r="W236" s="1" t="s">
        <v>36</v>
      </c>
      <c r="X236" s="1" t="str">
        <f>IF(urbanthreads_q4[[#This Row],[Qty]]&gt;0,"Valid","Invalid")</f>
        <v>Valid</v>
      </c>
      <c r="Y236" s="1">
        <f>urbanthreads_q4[[#This Row],[Total]]*urbanthreads_q4[[#This Row],[Disc %]]/100</f>
        <v>499.8</v>
      </c>
      <c r="Z236" s="1">
        <f>urbanthreads_q4[[#This Row],[Total]]-urbanthreads_q4[[#This Row],[Disc %]]</f>
        <v>2479</v>
      </c>
      <c r="AA236" s="1">
        <f>urbanthreads_q4[[#This Row],[Net revenue]]/urbanthreads_q4[[#This Row],[Total]]</f>
        <v>0.99199679871948776</v>
      </c>
      <c r="AB236" s="1" t="str">
        <f>TEXT(urbanthreads_q4[[#This Row],[Order Date]],"mm-yyyy")</f>
        <v>12-2024</v>
      </c>
      <c r="AC236" s="1" t="str">
        <f>YEAR(urbanthreads_q4[[#This Row],[Order Date]]) &amp; "-W" &amp; WEEKNUM(urbanthreads_q4[[#This Row],[Order Date]], 2)</f>
        <v>2024-W49</v>
      </c>
      <c r="AD236" s="1" t="str">
        <f>IF(urbanthreads_q4[[#This Row],[Payment]]="COD","COD","Prepaid")</f>
        <v>Prepaid</v>
      </c>
    </row>
    <row r="237" spans="1:30" x14ac:dyDescent="0.3">
      <c r="A237" s="1" t="s">
        <v>568</v>
      </c>
      <c r="B237" s="2">
        <v>45594</v>
      </c>
      <c r="C237" s="1" t="s">
        <v>569</v>
      </c>
      <c r="D237" s="1" t="s">
        <v>25</v>
      </c>
      <c r="E237" s="1" t="s">
        <v>570</v>
      </c>
      <c r="F237" s="1" t="s">
        <v>72</v>
      </c>
      <c r="G237" s="1" t="s">
        <v>571</v>
      </c>
      <c r="H237">
        <v>1299</v>
      </c>
      <c r="I237">
        <v>2</v>
      </c>
      <c r="J237">
        <v>2598</v>
      </c>
      <c r="K237" s="1" t="s">
        <v>537</v>
      </c>
      <c r="L237">
        <v>40</v>
      </c>
      <c r="M237" s="1" t="s">
        <v>56</v>
      </c>
      <c r="N237" s="1" t="s">
        <v>66</v>
      </c>
      <c r="O237" s="1" t="s">
        <v>91</v>
      </c>
      <c r="P237" s="1" t="s">
        <v>92</v>
      </c>
      <c r="Q237" s="1" t="s">
        <v>46</v>
      </c>
      <c r="R237" s="2">
        <v>45604</v>
      </c>
      <c r="S237" s="1" t="s">
        <v>34</v>
      </c>
      <c r="T237" s="1" t="s">
        <v>47</v>
      </c>
      <c r="U237" s="1" t="s">
        <v>139</v>
      </c>
      <c r="V237" s="2">
        <v>45626</v>
      </c>
      <c r="W237" s="1" t="s">
        <v>49</v>
      </c>
      <c r="X237" s="1" t="str">
        <f>IF(urbanthreads_q4[[#This Row],[Qty]]&gt;0,"Valid","Invalid")</f>
        <v>Valid</v>
      </c>
      <c r="Y237" s="1">
        <f>urbanthreads_q4[[#This Row],[Total]]*urbanthreads_q4[[#This Row],[Disc %]]/100</f>
        <v>1039.2</v>
      </c>
      <c r="Z237" s="1">
        <f>urbanthreads_q4[[#This Row],[Total]]-urbanthreads_q4[[#This Row],[Disc %]]</f>
        <v>2558</v>
      </c>
      <c r="AA237" s="1">
        <f>urbanthreads_q4[[#This Row],[Net revenue]]/urbanthreads_q4[[#This Row],[Total]]</f>
        <v>0.98460354118552729</v>
      </c>
      <c r="AB237" s="1" t="str">
        <f>TEXT(urbanthreads_q4[[#This Row],[Order Date]],"mm-yyyy")</f>
        <v>10-2024</v>
      </c>
      <c r="AC237" s="1" t="str">
        <f>YEAR(urbanthreads_q4[[#This Row],[Order Date]]) &amp; "-W" &amp; WEEKNUM(urbanthreads_q4[[#This Row],[Order Date]], 2)</f>
        <v>2024-W44</v>
      </c>
      <c r="AD237" s="1" t="str">
        <f>IF(urbanthreads_q4[[#This Row],[Payment]]="COD","COD","Prepaid")</f>
        <v>COD</v>
      </c>
    </row>
    <row r="238" spans="1:30" x14ac:dyDescent="0.3">
      <c r="A238" s="1" t="s">
        <v>1045</v>
      </c>
      <c r="B238" s="2">
        <v>45629</v>
      </c>
      <c r="C238" s="1" t="s">
        <v>1046</v>
      </c>
      <c r="D238" s="1" t="s">
        <v>25</v>
      </c>
      <c r="E238" s="1" t="s">
        <v>1047</v>
      </c>
      <c r="F238" s="1" t="s">
        <v>62</v>
      </c>
      <c r="G238" s="1" t="s">
        <v>1048</v>
      </c>
      <c r="H238">
        <v>7999</v>
      </c>
      <c r="I238">
        <v>1</v>
      </c>
      <c r="J238">
        <v>7999</v>
      </c>
      <c r="K238" s="1" t="s">
        <v>995</v>
      </c>
      <c r="L238">
        <v>20</v>
      </c>
      <c r="M238" s="1" t="s">
        <v>112</v>
      </c>
      <c r="N238" s="1" t="s">
        <v>66</v>
      </c>
      <c r="O238" s="1" t="s">
        <v>1049</v>
      </c>
      <c r="P238" s="1" t="s">
        <v>1050</v>
      </c>
      <c r="Q238" s="1" t="s">
        <v>46</v>
      </c>
      <c r="R238" s="2">
        <v>45640</v>
      </c>
      <c r="S238" s="1" t="s">
        <v>34</v>
      </c>
      <c r="T238" s="1" t="s">
        <v>35</v>
      </c>
      <c r="U238" s="1" t="s">
        <v>29</v>
      </c>
      <c r="W238" s="1" t="s">
        <v>36</v>
      </c>
      <c r="X238" s="1" t="str">
        <f>IF(urbanthreads_q4[[#This Row],[Qty]]&gt;0,"Valid","Invalid")</f>
        <v>Valid</v>
      </c>
      <c r="Y238" s="1">
        <f>urbanthreads_q4[[#This Row],[Total]]*urbanthreads_q4[[#This Row],[Disc %]]/100</f>
        <v>1599.8</v>
      </c>
      <c r="Z238" s="1">
        <f>urbanthreads_q4[[#This Row],[Total]]-urbanthreads_q4[[#This Row],[Disc %]]</f>
        <v>7979</v>
      </c>
      <c r="AA238" s="1">
        <f>urbanthreads_q4[[#This Row],[Net revenue]]/urbanthreads_q4[[#This Row],[Total]]</f>
        <v>0.99749968746093265</v>
      </c>
      <c r="AB238" s="1" t="str">
        <f>TEXT(urbanthreads_q4[[#This Row],[Order Date]],"mm-yyyy")</f>
        <v>12-2024</v>
      </c>
      <c r="AC238" s="1" t="str">
        <f>YEAR(urbanthreads_q4[[#This Row],[Order Date]]) &amp; "-W" &amp; WEEKNUM(urbanthreads_q4[[#This Row],[Order Date]], 2)</f>
        <v>2024-W49</v>
      </c>
      <c r="AD238" s="1" t="str">
        <f>IF(urbanthreads_q4[[#This Row],[Payment]]="COD","COD","Prepaid")</f>
        <v>Prepaid</v>
      </c>
    </row>
    <row r="239" spans="1:30" x14ac:dyDescent="0.3">
      <c r="A239" s="1" t="s">
        <v>1051</v>
      </c>
      <c r="B239" s="2">
        <v>45630</v>
      </c>
      <c r="C239" s="1" t="s">
        <v>1052</v>
      </c>
      <c r="D239" s="1" t="s">
        <v>39</v>
      </c>
      <c r="E239" s="1" t="s">
        <v>1053</v>
      </c>
      <c r="F239" s="1" t="s">
        <v>27</v>
      </c>
      <c r="G239" s="1" t="s">
        <v>1054</v>
      </c>
      <c r="H239">
        <v>1999</v>
      </c>
      <c r="I239">
        <v>1</v>
      </c>
      <c r="J239">
        <v>1999</v>
      </c>
      <c r="K239" s="1" t="s">
        <v>29</v>
      </c>
      <c r="L239">
        <v>0</v>
      </c>
      <c r="M239" s="1" t="s">
        <v>44</v>
      </c>
      <c r="N239" s="1" t="s">
        <v>31</v>
      </c>
      <c r="O239" s="1" t="s">
        <v>1055</v>
      </c>
      <c r="P239" s="1" t="s">
        <v>68</v>
      </c>
      <c r="Q239" s="1" t="s">
        <v>57</v>
      </c>
      <c r="R239" s="2">
        <v>45639</v>
      </c>
      <c r="S239" s="1" t="s">
        <v>34</v>
      </c>
      <c r="T239" s="1" t="s">
        <v>35</v>
      </c>
      <c r="U239" s="1" t="s">
        <v>29</v>
      </c>
      <c r="W239" s="1" t="s">
        <v>36</v>
      </c>
      <c r="X239" s="1" t="str">
        <f>IF(urbanthreads_q4[[#This Row],[Qty]]&gt;0,"Valid","Invalid")</f>
        <v>Valid</v>
      </c>
      <c r="Y239" s="1">
        <f>urbanthreads_q4[[#This Row],[Total]]*urbanthreads_q4[[#This Row],[Disc %]]/100</f>
        <v>0</v>
      </c>
      <c r="Z239" s="1">
        <f>urbanthreads_q4[[#This Row],[Total]]-urbanthreads_q4[[#This Row],[Disc %]]</f>
        <v>1999</v>
      </c>
      <c r="AA239" s="1">
        <f>urbanthreads_q4[[#This Row],[Net revenue]]/urbanthreads_q4[[#This Row],[Total]]</f>
        <v>1</v>
      </c>
      <c r="AB239" s="1" t="str">
        <f>TEXT(urbanthreads_q4[[#This Row],[Order Date]],"mm-yyyy")</f>
        <v>12-2024</v>
      </c>
      <c r="AC239" s="1" t="str">
        <f>YEAR(urbanthreads_q4[[#This Row],[Order Date]]) &amp; "-W" &amp; WEEKNUM(urbanthreads_q4[[#This Row],[Order Date]], 2)</f>
        <v>2024-W49</v>
      </c>
      <c r="AD239" s="1" t="str">
        <f>IF(urbanthreads_q4[[#This Row],[Payment]]="COD","COD","Prepaid")</f>
        <v>Prepaid</v>
      </c>
    </row>
    <row r="240" spans="1:30" x14ac:dyDescent="0.3">
      <c r="A240" s="1" t="s">
        <v>1056</v>
      </c>
      <c r="B240" s="2">
        <v>45630</v>
      </c>
      <c r="C240" s="1" t="s">
        <v>1057</v>
      </c>
      <c r="D240" s="1" t="s">
        <v>25</v>
      </c>
      <c r="E240" s="1" t="s">
        <v>1058</v>
      </c>
      <c r="F240" s="1" t="s">
        <v>72</v>
      </c>
      <c r="G240" s="1" t="s">
        <v>1059</v>
      </c>
      <c r="H240">
        <v>499</v>
      </c>
      <c r="I240">
        <v>2</v>
      </c>
      <c r="J240">
        <v>998</v>
      </c>
      <c r="K240" s="1" t="s">
        <v>995</v>
      </c>
      <c r="L240">
        <v>20</v>
      </c>
      <c r="M240" s="1" t="s">
        <v>56</v>
      </c>
      <c r="N240" s="1" t="s">
        <v>45</v>
      </c>
      <c r="O240" s="1" t="s">
        <v>1060</v>
      </c>
      <c r="P240" s="1" t="s">
        <v>183</v>
      </c>
      <c r="Q240" s="1" t="s">
        <v>57</v>
      </c>
      <c r="R240" s="2">
        <v>45639</v>
      </c>
      <c r="S240" s="1" t="s">
        <v>34</v>
      </c>
      <c r="T240" s="1" t="s">
        <v>35</v>
      </c>
      <c r="U240" s="1" t="s">
        <v>29</v>
      </c>
      <c r="W240" s="1" t="s">
        <v>36</v>
      </c>
      <c r="X240" s="1" t="str">
        <f>IF(urbanthreads_q4[[#This Row],[Qty]]&gt;0,"Valid","Invalid")</f>
        <v>Valid</v>
      </c>
      <c r="Y240" s="1">
        <f>urbanthreads_q4[[#This Row],[Total]]*urbanthreads_q4[[#This Row],[Disc %]]/100</f>
        <v>199.6</v>
      </c>
      <c r="Z240" s="1">
        <f>urbanthreads_q4[[#This Row],[Total]]-urbanthreads_q4[[#This Row],[Disc %]]</f>
        <v>978</v>
      </c>
      <c r="AA240" s="1">
        <f>urbanthreads_q4[[#This Row],[Net revenue]]/urbanthreads_q4[[#This Row],[Total]]</f>
        <v>0.97995991983967934</v>
      </c>
      <c r="AB240" s="1" t="str">
        <f>TEXT(urbanthreads_q4[[#This Row],[Order Date]],"mm-yyyy")</f>
        <v>12-2024</v>
      </c>
      <c r="AC240" s="1" t="str">
        <f>YEAR(urbanthreads_q4[[#This Row],[Order Date]]) &amp; "-W" &amp; WEEKNUM(urbanthreads_q4[[#This Row],[Order Date]], 2)</f>
        <v>2024-W49</v>
      </c>
      <c r="AD240" s="1" t="str">
        <f>IF(urbanthreads_q4[[#This Row],[Payment]]="COD","COD","Prepaid")</f>
        <v>COD</v>
      </c>
    </row>
    <row r="241" spans="1:30" x14ac:dyDescent="0.3">
      <c r="A241" s="1" t="s">
        <v>572</v>
      </c>
      <c r="B241" s="2">
        <v>45594</v>
      </c>
      <c r="C241" s="1" t="s">
        <v>573</v>
      </c>
      <c r="D241" s="1" t="s">
        <v>25</v>
      </c>
      <c r="E241" s="1" t="s">
        <v>574</v>
      </c>
      <c r="F241" s="1" t="s">
        <v>27</v>
      </c>
      <c r="G241" s="1" t="s">
        <v>575</v>
      </c>
      <c r="H241">
        <v>1999</v>
      </c>
      <c r="I241">
        <v>1</v>
      </c>
      <c r="J241">
        <v>1999</v>
      </c>
      <c r="K241" s="1" t="s">
        <v>537</v>
      </c>
      <c r="L241">
        <v>40</v>
      </c>
      <c r="M241" s="1" t="s">
        <v>30</v>
      </c>
      <c r="N241" s="1" t="s">
        <v>45</v>
      </c>
      <c r="O241" s="1" t="s">
        <v>57</v>
      </c>
      <c r="P241" s="1" t="s">
        <v>58</v>
      </c>
      <c r="Q241" s="1" t="s">
        <v>57</v>
      </c>
      <c r="R241" s="2">
        <v>45603</v>
      </c>
      <c r="S241" s="1" t="s">
        <v>34</v>
      </c>
      <c r="T241" s="1" t="s">
        <v>47</v>
      </c>
      <c r="U241" s="1" t="s">
        <v>69</v>
      </c>
      <c r="V241" s="2">
        <v>45629</v>
      </c>
      <c r="W241" s="1" t="s">
        <v>49</v>
      </c>
      <c r="X241" s="1" t="str">
        <f>IF(urbanthreads_q4[[#This Row],[Qty]]&gt;0,"Valid","Invalid")</f>
        <v>Valid</v>
      </c>
      <c r="Y241" s="1">
        <f>urbanthreads_q4[[#This Row],[Total]]*urbanthreads_q4[[#This Row],[Disc %]]/100</f>
        <v>799.6</v>
      </c>
      <c r="Z241" s="1">
        <f>urbanthreads_q4[[#This Row],[Total]]-urbanthreads_q4[[#This Row],[Disc %]]</f>
        <v>1959</v>
      </c>
      <c r="AA241" s="1">
        <f>urbanthreads_q4[[#This Row],[Net revenue]]/urbanthreads_q4[[#This Row],[Total]]</f>
        <v>0.97998999499749873</v>
      </c>
      <c r="AB241" s="1" t="str">
        <f>TEXT(urbanthreads_q4[[#This Row],[Order Date]],"mm-yyyy")</f>
        <v>10-2024</v>
      </c>
      <c r="AC241" s="1" t="str">
        <f>YEAR(urbanthreads_q4[[#This Row],[Order Date]]) &amp; "-W" &amp; WEEKNUM(urbanthreads_q4[[#This Row],[Order Date]], 2)</f>
        <v>2024-W44</v>
      </c>
      <c r="AD241" s="1" t="str">
        <f>IF(urbanthreads_q4[[#This Row],[Payment]]="COD","COD","Prepaid")</f>
        <v>Prepaid</v>
      </c>
    </row>
    <row r="242" spans="1:30" x14ac:dyDescent="0.3">
      <c r="A242" s="1" t="s">
        <v>1066</v>
      </c>
      <c r="B242" s="2">
        <v>45630</v>
      </c>
      <c r="C242" s="1" t="s">
        <v>1067</v>
      </c>
      <c r="D242" s="1" t="s">
        <v>25</v>
      </c>
      <c r="E242" s="1" t="s">
        <v>1068</v>
      </c>
      <c r="F242" s="1" t="s">
        <v>27</v>
      </c>
      <c r="G242" s="1" t="s">
        <v>1069</v>
      </c>
      <c r="H242">
        <v>2299</v>
      </c>
      <c r="I242">
        <v>1</v>
      </c>
      <c r="J242">
        <v>2299</v>
      </c>
      <c r="K242" s="1" t="s">
        <v>995</v>
      </c>
      <c r="L242">
        <v>20</v>
      </c>
      <c r="M242" s="1" t="s">
        <v>30</v>
      </c>
      <c r="N242" s="1" t="s">
        <v>31</v>
      </c>
      <c r="O242" s="1" t="s">
        <v>32</v>
      </c>
      <c r="P242" s="1" t="s">
        <v>33</v>
      </c>
      <c r="Q242" s="1" t="s">
        <v>32</v>
      </c>
      <c r="R242" s="2">
        <v>45639</v>
      </c>
      <c r="S242" s="1" t="s">
        <v>34</v>
      </c>
      <c r="T242" s="1" t="s">
        <v>35</v>
      </c>
      <c r="U242" s="1" t="s">
        <v>29</v>
      </c>
      <c r="W242" s="1" t="s">
        <v>36</v>
      </c>
      <c r="X242" s="1" t="str">
        <f>IF(urbanthreads_q4[[#This Row],[Qty]]&gt;0,"Valid","Invalid")</f>
        <v>Valid</v>
      </c>
      <c r="Y242" s="1">
        <f>urbanthreads_q4[[#This Row],[Total]]*urbanthreads_q4[[#This Row],[Disc %]]/100</f>
        <v>459.8</v>
      </c>
      <c r="Z242" s="1">
        <f>urbanthreads_q4[[#This Row],[Total]]-urbanthreads_q4[[#This Row],[Disc %]]</f>
        <v>2279</v>
      </c>
      <c r="AA242" s="1">
        <f>urbanthreads_q4[[#This Row],[Net revenue]]/urbanthreads_q4[[#This Row],[Total]]</f>
        <v>0.99130056546324485</v>
      </c>
      <c r="AB242" s="1" t="str">
        <f>TEXT(urbanthreads_q4[[#This Row],[Order Date]],"mm-yyyy")</f>
        <v>12-2024</v>
      </c>
      <c r="AC242" s="1" t="str">
        <f>YEAR(urbanthreads_q4[[#This Row],[Order Date]]) &amp; "-W" &amp; WEEKNUM(urbanthreads_q4[[#This Row],[Order Date]], 2)</f>
        <v>2024-W49</v>
      </c>
      <c r="AD242" s="1" t="str">
        <f>IF(urbanthreads_q4[[#This Row],[Payment]]="COD","COD","Prepaid")</f>
        <v>Prepaid</v>
      </c>
    </row>
    <row r="243" spans="1:30" x14ac:dyDescent="0.3">
      <c r="A243" s="1" t="s">
        <v>576</v>
      </c>
      <c r="B243" s="2">
        <v>45595</v>
      </c>
      <c r="C243" s="1" t="s">
        <v>577</v>
      </c>
      <c r="D243" s="1" t="s">
        <v>25</v>
      </c>
      <c r="E243" s="1" t="s">
        <v>578</v>
      </c>
      <c r="F243" s="1" t="s">
        <v>54</v>
      </c>
      <c r="G243" s="1" t="s">
        <v>579</v>
      </c>
      <c r="H243">
        <v>5499</v>
      </c>
      <c r="I243">
        <v>1</v>
      </c>
      <c r="J243">
        <v>5499</v>
      </c>
      <c r="K243" s="1" t="s">
        <v>537</v>
      </c>
      <c r="L243">
        <v>40</v>
      </c>
      <c r="M243" s="1" t="s">
        <v>112</v>
      </c>
      <c r="N243" s="1" t="s">
        <v>31</v>
      </c>
      <c r="O243" s="1" t="s">
        <v>156</v>
      </c>
      <c r="P243" s="1" t="s">
        <v>98</v>
      </c>
      <c r="Q243" s="1" t="s">
        <v>32</v>
      </c>
      <c r="R243" s="2">
        <v>45604</v>
      </c>
      <c r="S243" s="1" t="s">
        <v>34</v>
      </c>
      <c r="T243" s="1" t="s">
        <v>47</v>
      </c>
      <c r="U243" s="1" t="s">
        <v>48</v>
      </c>
      <c r="V243" s="2">
        <v>45627</v>
      </c>
      <c r="W243" s="1" t="s">
        <v>49</v>
      </c>
      <c r="X243" s="1" t="str">
        <f>IF(urbanthreads_q4[[#This Row],[Qty]]&gt;0,"Valid","Invalid")</f>
        <v>Valid</v>
      </c>
      <c r="Y243" s="1">
        <f>urbanthreads_q4[[#This Row],[Total]]*urbanthreads_q4[[#This Row],[Disc %]]/100</f>
        <v>2199.6</v>
      </c>
      <c r="Z243" s="1">
        <f>urbanthreads_q4[[#This Row],[Total]]-urbanthreads_q4[[#This Row],[Disc %]]</f>
        <v>5459</v>
      </c>
      <c r="AA243" s="1">
        <f>urbanthreads_q4[[#This Row],[Net revenue]]/urbanthreads_q4[[#This Row],[Total]]</f>
        <v>0.99272595017275866</v>
      </c>
      <c r="AB243" s="1" t="str">
        <f>TEXT(urbanthreads_q4[[#This Row],[Order Date]],"mm-yyyy")</f>
        <v>10-2024</v>
      </c>
      <c r="AC243" s="1" t="str">
        <f>YEAR(urbanthreads_q4[[#This Row],[Order Date]]) &amp; "-W" &amp; WEEKNUM(urbanthreads_q4[[#This Row],[Order Date]], 2)</f>
        <v>2024-W44</v>
      </c>
      <c r="AD243" s="1" t="str">
        <f>IF(urbanthreads_q4[[#This Row],[Payment]]="COD","COD","Prepaid")</f>
        <v>Prepaid</v>
      </c>
    </row>
    <row r="244" spans="1:30" x14ac:dyDescent="0.3">
      <c r="A244" s="1" t="s">
        <v>580</v>
      </c>
      <c r="B244" s="2">
        <v>45595</v>
      </c>
      <c r="C244" s="1" t="s">
        <v>581</v>
      </c>
      <c r="D244" s="1" t="s">
        <v>25</v>
      </c>
      <c r="E244" s="1" t="s">
        <v>582</v>
      </c>
      <c r="F244" s="1" t="s">
        <v>41</v>
      </c>
      <c r="G244" s="1" t="s">
        <v>583</v>
      </c>
      <c r="H244">
        <v>6999</v>
      </c>
      <c r="I244">
        <v>1</v>
      </c>
      <c r="J244">
        <v>6999</v>
      </c>
      <c r="K244" s="1" t="s">
        <v>537</v>
      </c>
      <c r="L244">
        <v>40</v>
      </c>
      <c r="M244" s="1" t="s">
        <v>44</v>
      </c>
      <c r="N244" s="1" t="s">
        <v>66</v>
      </c>
      <c r="O244" s="1" t="s">
        <v>32</v>
      </c>
      <c r="P244" s="1" t="s">
        <v>33</v>
      </c>
      <c r="Q244" s="1" t="s">
        <v>32</v>
      </c>
      <c r="R244" s="2">
        <v>45605</v>
      </c>
      <c r="S244" s="1" t="s">
        <v>34</v>
      </c>
      <c r="T244" s="1" t="s">
        <v>47</v>
      </c>
      <c r="U244" s="1" t="s">
        <v>48</v>
      </c>
      <c r="V244" s="2">
        <v>45629</v>
      </c>
      <c r="W244" s="1" t="s">
        <v>49</v>
      </c>
      <c r="X244" s="1" t="str">
        <f>IF(urbanthreads_q4[[#This Row],[Qty]]&gt;0,"Valid","Invalid")</f>
        <v>Valid</v>
      </c>
      <c r="Y244" s="1">
        <f>urbanthreads_q4[[#This Row],[Total]]*urbanthreads_q4[[#This Row],[Disc %]]/100</f>
        <v>2799.6</v>
      </c>
      <c r="Z244" s="1">
        <f>urbanthreads_q4[[#This Row],[Total]]-urbanthreads_q4[[#This Row],[Disc %]]</f>
        <v>6959</v>
      </c>
      <c r="AA244" s="1">
        <f>urbanthreads_q4[[#This Row],[Net revenue]]/urbanthreads_q4[[#This Row],[Total]]</f>
        <v>0.99428489784254892</v>
      </c>
      <c r="AB244" s="1" t="str">
        <f>TEXT(urbanthreads_q4[[#This Row],[Order Date]],"mm-yyyy")</f>
        <v>10-2024</v>
      </c>
      <c r="AC244" s="1" t="str">
        <f>YEAR(urbanthreads_q4[[#This Row],[Order Date]]) &amp; "-W" &amp; WEEKNUM(urbanthreads_q4[[#This Row],[Order Date]], 2)</f>
        <v>2024-W44</v>
      </c>
      <c r="AD244" s="1" t="str">
        <f>IF(urbanthreads_q4[[#This Row],[Payment]]="COD","COD","Prepaid")</f>
        <v>Prepaid</v>
      </c>
    </row>
    <row r="245" spans="1:30" x14ac:dyDescent="0.3">
      <c r="A245" s="1" t="s">
        <v>1077</v>
      </c>
      <c r="B245" s="2">
        <v>45631</v>
      </c>
      <c r="C245" s="1" t="s">
        <v>1078</v>
      </c>
      <c r="D245" s="1" t="s">
        <v>25</v>
      </c>
      <c r="E245" s="1" t="s">
        <v>369</v>
      </c>
      <c r="F245" s="1" t="s">
        <v>72</v>
      </c>
      <c r="G245" s="1" t="s">
        <v>1079</v>
      </c>
      <c r="H245">
        <v>1799</v>
      </c>
      <c r="I245">
        <v>1</v>
      </c>
      <c r="J245">
        <v>1799</v>
      </c>
      <c r="K245" s="1" t="s">
        <v>29</v>
      </c>
      <c r="L245">
        <v>0</v>
      </c>
      <c r="M245" s="1" t="s">
        <v>30</v>
      </c>
      <c r="N245" s="1" t="s">
        <v>31</v>
      </c>
      <c r="O245" s="1" t="s">
        <v>78</v>
      </c>
      <c r="P245" s="1" t="s">
        <v>79</v>
      </c>
      <c r="Q245" s="1" t="s">
        <v>57</v>
      </c>
      <c r="R245" s="2">
        <v>45642</v>
      </c>
      <c r="S245" s="1" t="s">
        <v>34</v>
      </c>
      <c r="T245" s="1" t="s">
        <v>35</v>
      </c>
      <c r="U245" s="1" t="s">
        <v>29</v>
      </c>
      <c r="W245" s="1" t="s">
        <v>36</v>
      </c>
      <c r="X245" s="1" t="str">
        <f>IF(urbanthreads_q4[[#This Row],[Qty]]&gt;0,"Valid","Invalid")</f>
        <v>Valid</v>
      </c>
      <c r="Y245" s="1">
        <f>urbanthreads_q4[[#This Row],[Total]]*urbanthreads_q4[[#This Row],[Disc %]]/100</f>
        <v>0</v>
      </c>
      <c r="Z245" s="1">
        <f>urbanthreads_q4[[#This Row],[Total]]-urbanthreads_q4[[#This Row],[Disc %]]</f>
        <v>1799</v>
      </c>
      <c r="AA245" s="1">
        <f>urbanthreads_q4[[#This Row],[Net revenue]]/urbanthreads_q4[[#This Row],[Total]]</f>
        <v>1</v>
      </c>
      <c r="AB245" s="1" t="str">
        <f>TEXT(urbanthreads_q4[[#This Row],[Order Date]],"mm-yyyy")</f>
        <v>12-2024</v>
      </c>
      <c r="AC245" s="1" t="str">
        <f>YEAR(urbanthreads_q4[[#This Row],[Order Date]]) &amp; "-W" &amp; WEEKNUM(urbanthreads_q4[[#This Row],[Order Date]], 2)</f>
        <v>2024-W49</v>
      </c>
      <c r="AD245" s="1" t="str">
        <f>IF(urbanthreads_q4[[#This Row],[Payment]]="COD","COD","Prepaid")</f>
        <v>Prepaid</v>
      </c>
    </row>
    <row r="246" spans="1:30" x14ac:dyDescent="0.3">
      <c r="A246" s="1" t="s">
        <v>1080</v>
      </c>
      <c r="B246" s="2">
        <v>45631</v>
      </c>
      <c r="C246" s="1" t="s">
        <v>1081</v>
      </c>
      <c r="D246" s="1" t="s">
        <v>25</v>
      </c>
      <c r="E246" s="1" t="s">
        <v>1082</v>
      </c>
      <c r="F246" s="1" t="s">
        <v>27</v>
      </c>
      <c r="G246" s="1" t="s">
        <v>1083</v>
      </c>
      <c r="H246">
        <v>2199</v>
      </c>
      <c r="I246">
        <v>1</v>
      </c>
      <c r="J246">
        <v>2199</v>
      </c>
      <c r="K246" s="1" t="s">
        <v>29</v>
      </c>
      <c r="L246">
        <v>0</v>
      </c>
      <c r="M246" s="1" t="s">
        <v>65</v>
      </c>
      <c r="N246" s="1" t="s">
        <v>45</v>
      </c>
      <c r="O246" s="1" t="s">
        <v>67</v>
      </c>
      <c r="P246" s="1" t="s">
        <v>68</v>
      </c>
      <c r="Q246" s="1" t="s">
        <v>57</v>
      </c>
      <c r="R246" s="2">
        <v>45642</v>
      </c>
      <c r="S246" s="1" t="s">
        <v>34</v>
      </c>
      <c r="T246" s="1" t="s">
        <v>35</v>
      </c>
      <c r="U246" s="1" t="s">
        <v>29</v>
      </c>
      <c r="W246" s="1" t="s">
        <v>36</v>
      </c>
      <c r="X246" s="1" t="str">
        <f>IF(urbanthreads_q4[[#This Row],[Qty]]&gt;0,"Valid","Invalid")</f>
        <v>Valid</v>
      </c>
      <c r="Y246" s="1">
        <f>urbanthreads_q4[[#This Row],[Total]]*urbanthreads_q4[[#This Row],[Disc %]]/100</f>
        <v>0</v>
      </c>
      <c r="Z246" s="1">
        <f>urbanthreads_q4[[#This Row],[Total]]-urbanthreads_q4[[#This Row],[Disc %]]</f>
        <v>2199</v>
      </c>
      <c r="AA246" s="1">
        <f>urbanthreads_q4[[#This Row],[Net revenue]]/urbanthreads_q4[[#This Row],[Total]]</f>
        <v>1</v>
      </c>
      <c r="AB246" s="1" t="str">
        <f>TEXT(urbanthreads_q4[[#This Row],[Order Date]],"mm-yyyy")</f>
        <v>12-2024</v>
      </c>
      <c r="AC246" s="1" t="str">
        <f>YEAR(urbanthreads_q4[[#This Row],[Order Date]]) &amp; "-W" &amp; WEEKNUM(urbanthreads_q4[[#This Row],[Order Date]], 2)</f>
        <v>2024-W49</v>
      </c>
      <c r="AD246" s="1" t="str">
        <f>IF(urbanthreads_q4[[#This Row],[Payment]]="COD","COD","Prepaid")</f>
        <v>Prepaid</v>
      </c>
    </row>
    <row r="247" spans="1:30" x14ac:dyDescent="0.3">
      <c r="A247" s="1" t="s">
        <v>593</v>
      </c>
      <c r="B247" s="2">
        <v>45595</v>
      </c>
      <c r="C247" s="1" t="s">
        <v>594</v>
      </c>
      <c r="D247" s="1" t="s">
        <v>25</v>
      </c>
      <c r="E247" s="1" t="s">
        <v>595</v>
      </c>
      <c r="F247" s="1" t="s">
        <v>27</v>
      </c>
      <c r="G247" s="1" t="s">
        <v>596</v>
      </c>
      <c r="H247">
        <v>3299</v>
      </c>
      <c r="I247">
        <v>1</v>
      </c>
      <c r="J247">
        <v>3299</v>
      </c>
      <c r="K247" s="1" t="s">
        <v>537</v>
      </c>
      <c r="L247">
        <v>40</v>
      </c>
      <c r="M247" s="1" t="s">
        <v>56</v>
      </c>
      <c r="N247" s="1" t="s">
        <v>66</v>
      </c>
      <c r="O247" s="1" t="s">
        <v>103</v>
      </c>
      <c r="P247" s="1" t="s">
        <v>104</v>
      </c>
      <c r="Q247" s="1" t="s">
        <v>46</v>
      </c>
      <c r="R247" s="2">
        <v>45608</v>
      </c>
      <c r="S247" s="1" t="s">
        <v>34</v>
      </c>
      <c r="T247" s="1" t="s">
        <v>47</v>
      </c>
      <c r="U247" s="1" t="s">
        <v>105</v>
      </c>
      <c r="V247" s="2">
        <v>45631</v>
      </c>
      <c r="W247" s="1" t="s">
        <v>106</v>
      </c>
      <c r="X247" s="1" t="str">
        <f>IF(urbanthreads_q4[[#This Row],[Qty]]&gt;0,"Valid","Invalid")</f>
        <v>Valid</v>
      </c>
      <c r="Y247" s="1">
        <f>urbanthreads_q4[[#This Row],[Total]]*urbanthreads_q4[[#This Row],[Disc %]]/100</f>
        <v>1319.6</v>
      </c>
      <c r="Z247" s="1">
        <f>urbanthreads_q4[[#This Row],[Total]]-urbanthreads_q4[[#This Row],[Disc %]]</f>
        <v>3259</v>
      </c>
      <c r="AA247" s="1">
        <f>urbanthreads_q4[[#This Row],[Net revenue]]/urbanthreads_q4[[#This Row],[Total]]</f>
        <v>0.98787511367080938</v>
      </c>
      <c r="AB247" s="1" t="str">
        <f>TEXT(urbanthreads_q4[[#This Row],[Order Date]],"mm-yyyy")</f>
        <v>10-2024</v>
      </c>
      <c r="AC247" s="1" t="str">
        <f>YEAR(urbanthreads_q4[[#This Row],[Order Date]]) &amp; "-W" &amp; WEEKNUM(urbanthreads_q4[[#This Row],[Order Date]], 2)</f>
        <v>2024-W44</v>
      </c>
      <c r="AD247" s="1" t="str">
        <f>IF(urbanthreads_q4[[#This Row],[Payment]]="COD","COD","Prepaid")</f>
        <v>COD</v>
      </c>
    </row>
    <row r="248" spans="1:30" x14ac:dyDescent="0.3">
      <c r="A248" s="1" t="s">
        <v>1088</v>
      </c>
      <c r="B248" s="2">
        <v>45632</v>
      </c>
      <c r="C248" s="1" t="s">
        <v>1089</v>
      </c>
      <c r="D248" s="1" t="s">
        <v>25</v>
      </c>
      <c r="E248" s="1" t="s">
        <v>1090</v>
      </c>
      <c r="F248" s="1" t="s">
        <v>54</v>
      </c>
      <c r="G248" s="1" t="s">
        <v>1091</v>
      </c>
      <c r="H248">
        <v>2899</v>
      </c>
      <c r="I248">
        <v>1</v>
      </c>
      <c r="J248">
        <v>2899</v>
      </c>
      <c r="K248" s="1" t="s">
        <v>29</v>
      </c>
      <c r="L248">
        <v>0</v>
      </c>
      <c r="M248" s="1" t="s">
        <v>44</v>
      </c>
      <c r="N248" s="1" t="s">
        <v>31</v>
      </c>
      <c r="O248" s="1" t="s">
        <v>91</v>
      </c>
      <c r="P248" s="1" t="s">
        <v>92</v>
      </c>
      <c r="Q248" s="1" t="s">
        <v>46</v>
      </c>
      <c r="R248" s="2">
        <v>45644</v>
      </c>
      <c r="S248" s="1" t="s">
        <v>34</v>
      </c>
      <c r="T248" s="1" t="s">
        <v>35</v>
      </c>
      <c r="U248" s="1" t="s">
        <v>29</v>
      </c>
      <c r="W248" s="1" t="s">
        <v>36</v>
      </c>
      <c r="X248" s="1" t="str">
        <f>IF(urbanthreads_q4[[#This Row],[Qty]]&gt;0,"Valid","Invalid")</f>
        <v>Valid</v>
      </c>
      <c r="Y248" s="1">
        <f>urbanthreads_q4[[#This Row],[Total]]*urbanthreads_q4[[#This Row],[Disc %]]/100</f>
        <v>0</v>
      </c>
      <c r="Z248" s="1">
        <f>urbanthreads_q4[[#This Row],[Total]]-urbanthreads_q4[[#This Row],[Disc %]]</f>
        <v>2899</v>
      </c>
      <c r="AA248" s="1">
        <f>urbanthreads_q4[[#This Row],[Net revenue]]/urbanthreads_q4[[#This Row],[Total]]</f>
        <v>1</v>
      </c>
      <c r="AB248" s="1" t="str">
        <f>TEXT(urbanthreads_q4[[#This Row],[Order Date]],"mm-yyyy")</f>
        <v>12-2024</v>
      </c>
      <c r="AC248" s="1" t="str">
        <f>YEAR(urbanthreads_q4[[#This Row],[Order Date]]) &amp; "-W" &amp; WEEKNUM(urbanthreads_q4[[#This Row],[Order Date]], 2)</f>
        <v>2024-W49</v>
      </c>
      <c r="AD248" s="1" t="str">
        <f>IF(urbanthreads_q4[[#This Row],[Payment]]="COD","COD","Prepaid")</f>
        <v>Prepaid</v>
      </c>
    </row>
    <row r="249" spans="1:30" x14ac:dyDescent="0.3">
      <c r="A249" s="1" t="s">
        <v>597</v>
      </c>
      <c r="B249" s="2">
        <v>45596</v>
      </c>
      <c r="C249" s="1" t="s">
        <v>598</v>
      </c>
      <c r="D249" s="1" t="s">
        <v>25</v>
      </c>
      <c r="E249" s="1" t="s">
        <v>599</v>
      </c>
      <c r="F249" s="1" t="s">
        <v>41</v>
      </c>
      <c r="G249" s="1" t="s">
        <v>600</v>
      </c>
      <c r="H249">
        <v>7499</v>
      </c>
      <c r="I249">
        <v>1</v>
      </c>
      <c r="J249">
        <v>7499</v>
      </c>
      <c r="K249" s="1" t="s">
        <v>537</v>
      </c>
      <c r="L249">
        <v>40</v>
      </c>
      <c r="M249" s="1" t="s">
        <v>44</v>
      </c>
      <c r="N249" s="1" t="s">
        <v>31</v>
      </c>
      <c r="O249" s="1" t="s">
        <v>113</v>
      </c>
      <c r="P249" s="1" t="s">
        <v>114</v>
      </c>
      <c r="Q249" s="1" t="s">
        <v>46</v>
      </c>
      <c r="R249" s="2">
        <v>45607</v>
      </c>
      <c r="S249" s="1" t="s">
        <v>34</v>
      </c>
      <c r="T249" s="1" t="s">
        <v>47</v>
      </c>
      <c r="U249" s="1" t="s">
        <v>48</v>
      </c>
      <c r="V249" s="2">
        <v>45630</v>
      </c>
      <c r="W249" s="1" t="s">
        <v>49</v>
      </c>
      <c r="X249" s="1" t="str">
        <f>IF(urbanthreads_q4[[#This Row],[Qty]]&gt;0,"Valid","Invalid")</f>
        <v>Valid</v>
      </c>
      <c r="Y249" s="1">
        <f>urbanthreads_q4[[#This Row],[Total]]*urbanthreads_q4[[#This Row],[Disc %]]/100</f>
        <v>2999.6</v>
      </c>
      <c r="Z249" s="1">
        <f>urbanthreads_q4[[#This Row],[Total]]-urbanthreads_q4[[#This Row],[Disc %]]</f>
        <v>7459</v>
      </c>
      <c r="AA249" s="1">
        <f>urbanthreads_q4[[#This Row],[Net revenue]]/urbanthreads_q4[[#This Row],[Total]]</f>
        <v>0.99466595546072811</v>
      </c>
      <c r="AB249" s="1" t="str">
        <f>TEXT(urbanthreads_q4[[#This Row],[Order Date]],"mm-yyyy")</f>
        <v>10-2024</v>
      </c>
      <c r="AC249" s="1" t="str">
        <f>YEAR(urbanthreads_q4[[#This Row],[Order Date]]) &amp; "-W" &amp; WEEKNUM(urbanthreads_q4[[#This Row],[Order Date]], 2)</f>
        <v>2024-W44</v>
      </c>
      <c r="AD249" s="1" t="str">
        <f>IF(urbanthreads_q4[[#This Row],[Payment]]="COD","COD","Prepaid")</f>
        <v>Prepaid</v>
      </c>
    </row>
    <row r="250" spans="1:30" x14ac:dyDescent="0.3">
      <c r="A250" s="1" t="s">
        <v>1095</v>
      </c>
      <c r="B250" s="2">
        <v>45632</v>
      </c>
      <c r="C250" s="1" t="s">
        <v>1096</v>
      </c>
      <c r="D250" s="1" t="s">
        <v>25</v>
      </c>
      <c r="E250" s="1" t="s">
        <v>1097</v>
      </c>
      <c r="F250" s="1" t="s">
        <v>72</v>
      </c>
      <c r="G250" s="1" t="s">
        <v>1098</v>
      </c>
      <c r="H250">
        <v>2499</v>
      </c>
      <c r="I250">
        <v>1</v>
      </c>
      <c r="J250">
        <v>2499</v>
      </c>
      <c r="K250" s="1" t="s">
        <v>29</v>
      </c>
      <c r="L250">
        <v>0</v>
      </c>
      <c r="M250" s="1" t="s">
        <v>112</v>
      </c>
      <c r="N250" s="1" t="s">
        <v>66</v>
      </c>
      <c r="O250" s="1" t="s">
        <v>113</v>
      </c>
      <c r="P250" s="1" t="s">
        <v>114</v>
      </c>
      <c r="Q250" s="1" t="s">
        <v>46</v>
      </c>
      <c r="R250" s="2">
        <v>45645</v>
      </c>
      <c r="S250" s="1" t="s">
        <v>34</v>
      </c>
      <c r="T250" s="1" t="s">
        <v>35</v>
      </c>
      <c r="U250" s="1" t="s">
        <v>29</v>
      </c>
      <c r="W250" s="1" t="s">
        <v>36</v>
      </c>
      <c r="X250" s="1" t="str">
        <f>IF(urbanthreads_q4[[#This Row],[Qty]]&gt;0,"Valid","Invalid")</f>
        <v>Valid</v>
      </c>
      <c r="Y250" s="1">
        <f>urbanthreads_q4[[#This Row],[Total]]*urbanthreads_q4[[#This Row],[Disc %]]/100</f>
        <v>0</v>
      </c>
      <c r="Z250" s="1">
        <f>urbanthreads_q4[[#This Row],[Total]]-urbanthreads_q4[[#This Row],[Disc %]]</f>
        <v>2499</v>
      </c>
      <c r="AA250" s="1">
        <f>urbanthreads_q4[[#This Row],[Net revenue]]/urbanthreads_q4[[#This Row],[Total]]</f>
        <v>1</v>
      </c>
      <c r="AB250" s="1" t="str">
        <f>TEXT(urbanthreads_q4[[#This Row],[Order Date]],"mm-yyyy")</f>
        <v>12-2024</v>
      </c>
      <c r="AC250" s="1" t="str">
        <f>YEAR(urbanthreads_q4[[#This Row],[Order Date]]) &amp; "-W" &amp; WEEKNUM(urbanthreads_q4[[#This Row],[Order Date]], 2)</f>
        <v>2024-W49</v>
      </c>
      <c r="AD250" s="1" t="str">
        <f>IF(urbanthreads_q4[[#This Row],[Payment]]="COD","COD","Prepaid")</f>
        <v>Prepaid</v>
      </c>
    </row>
    <row r="251" spans="1:30" x14ac:dyDescent="0.3">
      <c r="A251" s="1" t="s">
        <v>1099</v>
      </c>
      <c r="B251" s="2">
        <v>45633</v>
      </c>
      <c r="C251" s="1" t="s">
        <v>1100</v>
      </c>
      <c r="D251" s="1" t="s">
        <v>25</v>
      </c>
      <c r="E251" s="1" t="s">
        <v>1101</v>
      </c>
      <c r="F251" s="1" t="s">
        <v>27</v>
      </c>
      <c r="G251" s="1" t="s">
        <v>1102</v>
      </c>
      <c r="H251">
        <v>1899</v>
      </c>
      <c r="I251">
        <v>1</v>
      </c>
      <c r="J251">
        <v>1899</v>
      </c>
      <c r="K251" s="1" t="s">
        <v>29</v>
      </c>
      <c r="L251">
        <v>0</v>
      </c>
      <c r="M251" s="1" t="s">
        <v>65</v>
      </c>
      <c r="N251" s="1" t="s">
        <v>31</v>
      </c>
      <c r="O251" s="1" t="s">
        <v>1065</v>
      </c>
      <c r="P251" s="1" t="s">
        <v>1065</v>
      </c>
      <c r="Q251" s="1" t="s">
        <v>32</v>
      </c>
      <c r="S251" s="1" t="s">
        <v>121</v>
      </c>
      <c r="T251" s="1" t="s">
        <v>35</v>
      </c>
      <c r="U251" s="1" t="s">
        <v>29</v>
      </c>
      <c r="W251" s="1" t="s">
        <v>36</v>
      </c>
      <c r="X251" s="1" t="str">
        <f>IF(urbanthreads_q4[[#This Row],[Qty]]&gt;0,"Valid","Invalid")</f>
        <v>Valid</v>
      </c>
      <c r="Y251" s="1">
        <f>urbanthreads_q4[[#This Row],[Total]]*urbanthreads_q4[[#This Row],[Disc %]]/100</f>
        <v>0</v>
      </c>
      <c r="Z251" s="1">
        <f>urbanthreads_q4[[#This Row],[Total]]-urbanthreads_q4[[#This Row],[Disc %]]</f>
        <v>1899</v>
      </c>
      <c r="AA251" s="1">
        <f>urbanthreads_q4[[#This Row],[Net revenue]]/urbanthreads_q4[[#This Row],[Total]]</f>
        <v>1</v>
      </c>
      <c r="AB251" s="1" t="str">
        <f>TEXT(urbanthreads_q4[[#This Row],[Order Date]],"mm-yyyy")</f>
        <v>12-2024</v>
      </c>
      <c r="AC251" s="1" t="str">
        <f>YEAR(urbanthreads_q4[[#This Row],[Order Date]]) &amp; "-W" &amp; WEEKNUM(urbanthreads_q4[[#This Row],[Order Date]], 2)</f>
        <v>2024-W49</v>
      </c>
      <c r="AD251" s="1" t="str">
        <f>IF(urbanthreads_q4[[#This Row],[Payment]]="COD","COD","Prepaid")</f>
        <v>Prepaid</v>
      </c>
    </row>
    <row r="252" spans="1:30" x14ac:dyDescent="0.3">
      <c r="A252" s="1" t="s">
        <v>1103</v>
      </c>
      <c r="B252" s="2">
        <v>45633</v>
      </c>
      <c r="C252" s="1" t="s">
        <v>1104</v>
      </c>
      <c r="D252" s="1" t="s">
        <v>25</v>
      </c>
      <c r="E252" s="1" t="s">
        <v>1105</v>
      </c>
      <c r="F252" s="1" t="s">
        <v>41</v>
      </c>
      <c r="G252" s="1" t="s">
        <v>938</v>
      </c>
      <c r="H252">
        <v>3299</v>
      </c>
      <c r="I252">
        <v>1</v>
      </c>
      <c r="J252">
        <v>3299</v>
      </c>
      <c r="K252" s="1" t="s">
        <v>995</v>
      </c>
      <c r="L252">
        <v>20</v>
      </c>
      <c r="M252" s="1" t="s">
        <v>44</v>
      </c>
      <c r="N252" s="1" t="s">
        <v>45</v>
      </c>
      <c r="O252" s="1" t="s">
        <v>32</v>
      </c>
      <c r="P252" s="1" t="s">
        <v>33</v>
      </c>
      <c r="Q252" s="1" t="s">
        <v>32</v>
      </c>
      <c r="R252" s="2">
        <v>45646</v>
      </c>
      <c r="S252" s="1" t="s">
        <v>34</v>
      </c>
      <c r="T252" s="1" t="s">
        <v>35</v>
      </c>
      <c r="U252" s="1" t="s">
        <v>29</v>
      </c>
      <c r="W252" s="1" t="s">
        <v>36</v>
      </c>
      <c r="X252" s="1" t="str">
        <f>IF(urbanthreads_q4[[#This Row],[Qty]]&gt;0,"Valid","Invalid")</f>
        <v>Valid</v>
      </c>
      <c r="Y252" s="1">
        <f>urbanthreads_q4[[#This Row],[Total]]*urbanthreads_q4[[#This Row],[Disc %]]/100</f>
        <v>659.8</v>
      </c>
      <c r="Z252" s="1">
        <f>urbanthreads_q4[[#This Row],[Total]]-urbanthreads_q4[[#This Row],[Disc %]]</f>
        <v>3279</v>
      </c>
      <c r="AA252" s="1">
        <f>urbanthreads_q4[[#This Row],[Net revenue]]/urbanthreads_q4[[#This Row],[Total]]</f>
        <v>0.99393755683540463</v>
      </c>
      <c r="AB252" s="1" t="str">
        <f>TEXT(urbanthreads_q4[[#This Row],[Order Date]],"mm-yyyy")</f>
        <v>12-2024</v>
      </c>
      <c r="AC252" s="1" t="str">
        <f>YEAR(urbanthreads_q4[[#This Row],[Order Date]]) &amp; "-W" &amp; WEEKNUM(urbanthreads_q4[[#This Row],[Order Date]], 2)</f>
        <v>2024-W49</v>
      </c>
      <c r="AD252" s="1" t="str">
        <f>IF(urbanthreads_q4[[#This Row],[Payment]]="COD","COD","Prepaid")</f>
        <v>Prepaid</v>
      </c>
    </row>
    <row r="253" spans="1:30" x14ac:dyDescent="0.3">
      <c r="A253" s="1" t="s">
        <v>601</v>
      </c>
      <c r="B253" s="2">
        <v>45596</v>
      </c>
      <c r="C253" s="1" t="s">
        <v>602</v>
      </c>
      <c r="D253" s="1" t="s">
        <v>25</v>
      </c>
      <c r="E253" s="1" t="s">
        <v>603</v>
      </c>
      <c r="F253" s="1" t="s">
        <v>54</v>
      </c>
      <c r="G253" s="1" t="s">
        <v>604</v>
      </c>
      <c r="H253">
        <v>3299</v>
      </c>
      <c r="I253">
        <v>1</v>
      </c>
      <c r="J253">
        <v>3299</v>
      </c>
      <c r="K253" s="1" t="s">
        <v>537</v>
      </c>
      <c r="L253">
        <v>40</v>
      </c>
      <c r="M253" s="1" t="s">
        <v>30</v>
      </c>
      <c r="N253" s="1" t="s">
        <v>45</v>
      </c>
      <c r="O253" s="1" t="s">
        <v>119</v>
      </c>
      <c r="P253" s="1" t="s">
        <v>120</v>
      </c>
      <c r="Q253" s="1" t="s">
        <v>46</v>
      </c>
      <c r="R253" s="2">
        <v>45608</v>
      </c>
      <c r="S253" s="1" t="s">
        <v>34</v>
      </c>
      <c r="T253" s="1" t="s">
        <v>47</v>
      </c>
      <c r="U253" s="1" t="s">
        <v>80</v>
      </c>
      <c r="V253" s="2">
        <v>45632</v>
      </c>
      <c r="W253" s="1" t="s">
        <v>49</v>
      </c>
      <c r="X253" s="1" t="str">
        <f>IF(urbanthreads_q4[[#This Row],[Qty]]&gt;0,"Valid","Invalid")</f>
        <v>Valid</v>
      </c>
      <c r="Y253" s="1">
        <f>urbanthreads_q4[[#This Row],[Total]]*urbanthreads_q4[[#This Row],[Disc %]]/100</f>
        <v>1319.6</v>
      </c>
      <c r="Z253" s="1">
        <f>urbanthreads_q4[[#This Row],[Total]]-urbanthreads_q4[[#This Row],[Disc %]]</f>
        <v>3259</v>
      </c>
      <c r="AA253" s="1">
        <f>urbanthreads_q4[[#This Row],[Net revenue]]/urbanthreads_q4[[#This Row],[Total]]</f>
        <v>0.98787511367080938</v>
      </c>
      <c r="AB253" s="1" t="str">
        <f>TEXT(urbanthreads_q4[[#This Row],[Order Date]],"mm-yyyy")</f>
        <v>10-2024</v>
      </c>
      <c r="AC253" s="1" t="str">
        <f>YEAR(urbanthreads_q4[[#This Row],[Order Date]]) &amp; "-W" &amp; WEEKNUM(urbanthreads_q4[[#This Row],[Order Date]], 2)</f>
        <v>2024-W44</v>
      </c>
      <c r="AD253" s="1" t="str">
        <f>IF(urbanthreads_q4[[#This Row],[Payment]]="COD","COD","Prepaid")</f>
        <v>Prepaid</v>
      </c>
    </row>
    <row r="254" spans="1:30" x14ac:dyDescent="0.3">
      <c r="A254" s="1" t="s">
        <v>1109</v>
      </c>
      <c r="B254" s="2">
        <v>45633</v>
      </c>
      <c r="C254" s="1" t="s">
        <v>1110</v>
      </c>
      <c r="D254" s="1" t="s">
        <v>39</v>
      </c>
      <c r="E254" s="1" t="s">
        <v>1111</v>
      </c>
      <c r="F254" s="1" t="s">
        <v>62</v>
      </c>
      <c r="G254" s="1" t="s">
        <v>1112</v>
      </c>
      <c r="H254">
        <v>5499</v>
      </c>
      <c r="I254">
        <v>1</v>
      </c>
      <c r="J254">
        <v>5499</v>
      </c>
      <c r="K254" s="1" t="s">
        <v>995</v>
      </c>
      <c r="L254">
        <v>20</v>
      </c>
      <c r="M254" s="1" t="s">
        <v>30</v>
      </c>
      <c r="N254" s="1" t="s">
        <v>31</v>
      </c>
      <c r="O254" s="1" t="s">
        <v>57</v>
      </c>
      <c r="P254" s="1" t="s">
        <v>58</v>
      </c>
      <c r="Q254" s="1" t="s">
        <v>57</v>
      </c>
      <c r="R254" s="2">
        <v>45647</v>
      </c>
      <c r="S254" s="1" t="s">
        <v>34</v>
      </c>
      <c r="T254" s="1" t="s">
        <v>35</v>
      </c>
      <c r="U254" s="1" t="s">
        <v>29</v>
      </c>
      <c r="W254" s="1" t="s">
        <v>36</v>
      </c>
      <c r="X254" s="1" t="str">
        <f>IF(urbanthreads_q4[[#This Row],[Qty]]&gt;0,"Valid","Invalid")</f>
        <v>Valid</v>
      </c>
      <c r="Y254" s="1">
        <f>urbanthreads_q4[[#This Row],[Total]]*urbanthreads_q4[[#This Row],[Disc %]]/100</f>
        <v>1099.8</v>
      </c>
      <c r="Z254" s="1">
        <f>urbanthreads_q4[[#This Row],[Total]]-urbanthreads_q4[[#This Row],[Disc %]]</f>
        <v>5479</v>
      </c>
      <c r="AA254" s="1">
        <f>urbanthreads_q4[[#This Row],[Net revenue]]/urbanthreads_q4[[#This Row],[Total]]</f>
        <v>0.99636297508637939</v>
      </c>
      <c r="AB254" s="1" t="str">
        <f>TEXT(urbanthreads_q4[[#This Row],[Order Date]],"mm-yyyy")</f>
        <v>12-2024</v>
      </c>
      <c r="AC254" s="1" t="str">
        <f>YEAR(urbanthreads_q4[[#This Row],[Order Date]]) &amp; "-W" &amp; WEEKNUM(urbanthreads_q4[[#This Row],[Order Date]], 2)</f>
        <v>2024-W49</v>
      </c>
      <c r="AD254" s="1" t="str">
        <f>IF(urbanthreads_q4[[#This Row],[Payment]]="COD","COD","Prepaid")</f>
        <v>Prepaid</v>
      </c>
    </row>
    <row r="255" spans="1:30" x14ac:dyDescent="0.3">
      <c r="A255" s="1" t="s">
        <v>1113</v>
      </c>
      <c r="B255" s="2">
        <v>45634</v>
      </c>
      <c r="C255" s="1" t="s">
        <v>1114</v>
      </c>
      <c r="D255" s="1" t="s">
        <v>25</v>
      </c>
      <c r="E255" s="1" t="s">
        <v>1115</v>
      </c>
      <c r="F255" s="1" t="s">
        <v>72</v>
      </c>
      <c r="G255" s="1" t="s">
        <v>1116</v>
      </c>
      <c r="H255">
        <v>999</v>
      </c>
      <c r="I255">
        <v>1</v>
      </c>
      <c r="J255">
        <v>999</v>
      </c>
      <c r="K255" s="1" t="s">
        <v>29</v>
      </c>
      <c r="L255">
        <v>0</v>
      </c>
      <c r="M255" s="1" t="s">
        <v>112</v>
      </c>
      <c r="N255" s="1" t="s">
        <v>45</v>
      </c>
      <c r="O255" s="1" t="s">
        <v>97</v>
      </c>
      <c r="P255" s="1" t="s">
        <v>98</v>
      </c>
      <c r="Q255" s="1" t="s">
        <v>32</v>
      </c>
      <c r="R255" s="2">
        <v>45648</v>
      </c>
      <c r="S255" s="1" t="s">
        <v>34</v>
      </c>
      <c r="T255" s="1" t="s">
        <v>35</v>
      </c>
      <c r="U255" s="1" t="s">
        <v>29</v>
      </c>
      <c r="W255" s="1" t="s">
        <v>36</v>
      </c>
      <c r="X255" s="1" t="str">
        <f>IF(urbanthreads_q4[[#This Row],[Qty]]&gt;0,"Valid","Invalid")</f>
        <v>Valid</v>
      </c>
      <c r="Y255" s="1">
        <f>urbanthreads_q4[[#This Row],[Total]]*urbanthreads_q4[[#This Row],[Disc %]]/100</f>
        <v>0</v>
      </c>
      <c r="Z255" s="1">
        <f>urbanthreads_q4[[#This Row],[Total]]-urbanthreads_q4[[#This Row],[Disc %]]</f>
        <v>999</v>
      </c>
      <c r="AA255" s="1">
        <f>urbanthreads_q4[[#This Row],[Net revenue]]/urbanthreads_q4[[#This Row],[Total]]</f>
        <v>1</v>
      </c>
      <c r="AB255" s="1" t="str">
        <f>TEXT(urbanthreads_q4[[#This Row],[Order Date]],"mm-yyyy")</f>
        <v>12-2024</v>
      </c>
      <c r="AC255" s="1" t="str">
        <f>YEAR(urbanthreads_q4[[#This Row],[Order Date]]) &amp; "-W" &amp; WEEKNUM(urbanthreads_q4[[#This Row],[Order Date]], 2)</f>
        <v>2024-W49</v>
      </c>
      <c r="AD255" s="1" t="str">
        <f>IF(urbanthreads_q4[[#This Row],[Payment]]="COD","COD","Prepaid")</f>
        <v>Prepaid</v>
      </c>
    </row>
    <row r="256" spans="1:30" x14ac:dyDescent="0.3">
      <c r="A256" s="1" t="s">
        <v>605</v>
      </c>
      <c r="B256" s="2">
        <v>45596</v>
      </c>
      <c r="C256" s="1" t="s">
        <v>606</v>
      </c>
      <c r="D256" s="1" t="s">
        <v>39</v>
      </c>
      <c r="E256" s="1" t="s">
        <v>405</v>
      </c>
      <c r="F256" s="1" t="s">
        <v>62</v>
      </c>
      <c r="G256" s="1" t="s">
        <v>607</v>
      </c>
      <c r="H256">
        <v>5499</v>
      </c>
      <c r="I256">
        <v>1</v>
      </c>
      <c r="J256">
        <v>5499</v>
      </c>
      <c r="K256" s="1" t="s">
        <v>537</v>
      </c>
      <c r="L256">
        <v>40</v>
      </c>
      <c r="M256" s="1" t="s">
        <v>65</v>
      </c>
      <c r="N256" s="1" t="s">
        <v>66</v>
      </c>
      <c r="O256" s="1" t="s">
        <v>138</v>
      </c>
      <c r="P256" s="1" t="s">
        <v>114</v>
      </c>
      <c r="Q256" s="1" t="s">
        <v>46</v>
      </c>
      <c r="R256" s="2">
        <v>45609</v>
      </c>
      <c r="S256" s="1" t="s">
        <v>34</v>
      </c>
      <c r="T256" s="1" t="s">
        <v>47</v>
      </c>
      <c r="U256" s="1" t="s">
        <v>69</v>
      </c>
      <c r="V256" s="2">
        <v>45634</v>
      </c>
      <c r="W256" s="1" t="s">
        <v>49</v>
      </c>
      <c r="X256" s="1" t="str">
        <f>IF(urbanthreads_q4[[#This Row],[Qty]]&gt;0,"Valid","Invalid")</f>
        <v>Valid</v>
      </c>
      <c r="Y256" s="1">
        <f>urbanthreads_q4[[#This Row],[Total]]*urbanthreads_q4[[#This Row],[Disc %]]/100</f>
        <v>2199.6</v>
      </c>
      <c r="Z256" s="1">
        <f>urbanthreads_q4[[#This Row],[Total]]-urbanthreads_q4[[#This Row],[Disc %]]</f>
        <v>5459</v>
      </c>
      <c r="AA256" s="1">
        <f>urbanthreads_q4[[#This Row],[Net revenue]]/urbanthreads_q4[[#This Row],[Total]]</f>
        <v>0.99272595017275866</v>
      </c>
      <c r="AB256" s="1" t="str">
        <f>TEXT(urbanthreads_q4[[#This Row],[Order Date]],"mm-yyyy")</f>
        <v>10-2024</v>
      </c>
      <c r="AC256" s="1" t="str">
        <f>YEAR(urbanthreads_q4[[#This Row],[Order Date]]) &amp; "-W" &amp; WEEKNUM(urbanthreads_q4[[#This Row],[Order Date]], 2)</f>
        <v>2024-W44</v>
      </c>
      <c r="AD256" s="1" t="str">
        <f>IF(urbanthreads_q4[[#This Row],[Payment]]="COD","COD","Prepaid")</f>
        <v>Prepaid</v>
      </c>
    </row>
    <row r="257" spans="1:30" x14ac:dyDescent="0.3">
      <c r="A257" s="1" t="s">
        <v>612</v>
      </c>
      <c r="B257" s="2">
        <v>45596</v>
      </c>
      <c r="C257" s="1" t="s">
        <v>613</v>
      </c>
      <c r="D257" s="1" t="s">
        <v>25</v>
      </c>
      <c r="E257" s="1" t="s">
        <v>614</v>
      </c>
      <c r="F257" s="1" t="s">
        <v>27</v>
      </c>
      <c r="G257" s="1" t="s">
        <v>615</v>
      </c>
      <c r="H257">
        <v>2799</v>
      </c>
      <c r="I257">
        <v>1</v>
      </c>
      <c r="J257">
        <v>2799</v>
      </c>
      <c r="K257" s="1" t="s">
        <v>537</v>
      </c>
      <c r="L257">
        <v>40</v>
      </c>
      <c r="M257" s="1" t="s">
        <v>112</v>
      </c>
      <c r="N257" s="1" t="s">
        <v>45</v>
      </c>
      <c r="O257" s="1" t="s">
        <v>150</v>
      </c>
      <c r="P257" s="1" t="s">
        <v>151</v>
      </c>
      <c r="Q257" s="1" t="s">
        <v>32</v>
      </c>
      <c r="R257" s="2">
        <v>45608</v>
      </c>
      <c r="S257" s="1" t="s">
        <v>34</v>
      </c>
      <c r="T257" s="1" t="s">
        <v>47</v>
      </c>
      <c r="U257" s="1" t="s">
        <v>48</v>
      </c>
      <c r="V257" s="2">
        <v>45633</v>
      </c>
      <c r="W257" s="1" t="s">
        <v>49</v>
      </c>
      <c r="X257" s="1" t="str">
        <f>IF(urbanthreads_q4[[#This Row],[Qty]]&gt;0,"Valid","Invalid")</f>
        <v>Valid</v>
      </c>
      <c r="Y257" s="1">
        <f>urbanthreads_q4[[#This Row],[Total]]*urbanthreads_q4[[#This Row],[Disc %]]/100</f>
        <v>1119.5999999999999</v>
      </c>
      <c r="Z257" s="1">
        <f>urbanthreads_q4[[#This Row],[Total]]-urbanthreads_q4[[#This Row],[Disc %]]</f>
        <v>2759</v>
      </c>
      <c r="AA257" s="1">
        <f>urbanthreads_q4[[#This Row],[Net revenue]]/urbanthreads_q4[[#This Row],[Total]]</f>
        <v>0.98570918185066092</v>
      </c>
      <c r="AB257" s="1" t="str">
        <f>TEXT(urbanthreads_q4[[#This Row],[Order Date]],"mm-yyyy")</f>
        <v>10-2024</v>
      </c>
      <c r="AC257" s="1" t="str">
        <f>YEAR(urbanthreads_q4[[#This Row],[Order Date]]) &amp; "-W" &amp; WEEKNUM(urbanthreads_q4[[#This Row],[Order Date]], 2)</f>
        <v>2024-W44</v>
      </c>
      <c r="AD257" s="1" t="str">
        <f>IF(urbanthreads_q4[[#This Row],[Payment]]="COD","COD","Prepaid")</f>
        <v>Prepaid</v>
      </c>
    </row>
    <row r="258" spans="1:30" x14ac:dyDescent="0.3">
      <c r="A258" s="1" t="s">
        <v>1123</v>
      </c>
      <c r="B258" s="2">
        <v>45634</v>
      </c>
      <c r="C258" s="1" t="s">
        <v>1124</v>
      </c>
      <c r="D258" s="1" t="s">
        <v>25</v>
      </c>
      <c r="E258" s="1" t="s">
        <v>1125</v>
      </c>
      <c r="F258" s="1" t="s">
        <v>54</v>
      </c>
      <c r="G258" s="1" t="s">
        <v>314</v>
      </c>
      <c r="H258">
        <v>2299</v>
      </c>
      <c r="I258">
        <v>1</v>
      </c>
      <c r="J258">
        <v>2299</v>
      </c>
      <c r="K258" s="1" t="s">
        <v>29</v>
      </c>
      <c r="L258">
        <v>0</v>
      </c>
      <c r="M258" s="1" t="s">
        <v>30</v>
      </c>
      <c r="N258" s="1" t="s">
        <v>45</v>
      </c>
      <c r="O258" s="1" t="s">
        <v>209</v>
      </c>
      <c r="P258" s="1" t="s">
        <v>98</v>
      </c>
      <c r="Q258" s="1" t="s">
        <v>32</v>
      </c>
      <c r="R258" s="2">
        <v>45649</v>
      </c>
      <c r="S258" s="1" t="s">
        <v>34</v>
      </c>
      <c r="T258" s="1" t="s">
        <v>35</v>
      </c>
      <c r="U258" s="1" t="s">
        <v>29</v>
      </c>
      <c r="W258" s="1" t="s">
        <v>36</v>
      </c>
      <c r="X258" s="1" t="str">
        <f>IF(urbanthreads_q4[[#This Row],[Qty]]&gt;0,"Valid","Invalid")</f>
        <v>Valid</v>
      </c>
      <c r="Y258" s="1">
        <f>urbanthreads_q4[[#This Row],[Total]]*urbanthreads_q4[[#This Row],[Disc %]]/100</f>
        <v>0</v>
      </c>
      <c r="Z258" s="1">
        <f>urbanthreads_q4[[#This Row],[Total]]-urbanthreads_q4[[#This Row],[Disc %]]</f>
        <v>2299</v>
      </c>
      <c r="AA258" s="1">
        <f>urbanthreads_q4[[#This Row],[Net revenue]]/urbanthreads_q4[[#This Row],[Total]]</f>
        <v>1</v>
      </c>
      <c r="AB258" s="1" t="str">
        <f>TEXT(urbanthreads_q4[[#This Row],[Order Date]],"mm-yyyy")</f>
        <v>12-2024</v>
      </c>
      <c r="AC258" s="1" t="str">
        <f>YEAR(urbanthreads_q4[[#This Row],[Order Date]]) &amp; "-W" &amp; WEEKNUM(urbanthreads_q4[[#This Row],[Order Date]], 2)</f>
        <v>2024-W49</v>
      </c>
      <c r="AD258" s="1" t="str">
        <f>IF(urbanthreads_q4[[#This Row],[Payment]]="COD","COD","Prepaid")</f>
        <v>Prepaid</v>
      </c>
    </row>
    <row r="259" spans="1:30" x14ac:dyDescent="0.3">
      <c r="A259" s="1" t="s">
        <v>616</v>
      </c>
      <c r="B259" s="2">
        <v>45597</v>
      </c>
      <c r="C259" s="1" t="s">
        <v>617</v>
      </c>
      <c r="D259" s="1" t="s">
        <v>25</v>
      </c>
      <c r="E259" s="1" t="s">
        <v>618</v>
      </c>
      <c r="F259" s="1" t="s">
        <v>41</v>
      </c>
      <c r="G259" s="1" t="s">
        <v>619</v>
      </c>
      <c r="H259">
        <v>3899</v>
      </c>
      <c r="I259">
        <v>1</v>
      </c>
      <c r="J259">
        <v>3899</v>
      </c>
      <c r="K259" s="1" t="s">
        <v>537</v>
      </c>
      <c r="L259">
        <v>40</v>
      </c>
      <c r="M259" s="1" t="s">
        <v>44</v>
      </c>
      <c r="N259" s="1" t="s">
        <v>66</v>
      </c>
      <c r="O259" s="1" t="s">
        <v>156</v>
      </c>
      <c r="P259" s="1" t="s">
        <v>98</v>
      </c>
      <c r="Q259" s="1" t="s">
        <v>32</v>
      </c>
      <c r="R259" s="2">
        <v>45606</v>
      </c>
      <c r="S259" s="1" t="s">
        <v>34</v>
      </c>
      <c r="T259" s="1" t="s">
        <v>47</v>
      </c>
      <c r="U259" s="1" t="s">
        <v>105</v>
      </c>
      <c r="V259" s="2">
        <v>45631</v>
      </c>
      <c r="W259" s="1" t="s">
        <v>49</v>
      </c>
      <c r="X259" s="1" t="str">
        <f>IF(urbanthreads_q4[[#This Row],[Qty]]&gt;0,"Valid","Invalid")</f>
        <v>Valid</v>
      </c>
      <c r="Y259" s="1">
        <f>urbanthreads_q4[[#This Row],[Total]]*urbanthreads_q4[[#This Row],[Disc %]]/100</f>
        <v>1559.6</v>
      </c>
      <c r="Z259" s="1">
        <f>urbanthreads_q4[[#This Row],[Total]]-urbanthreads_q4[[#This Row],[Disc %]]</f>
        <v>3859</v>
      </c>
      <c r="AA259" s="1">
        <f>urbanthreads_q4[[#This Row],[Net revenue]]/urbanthreads_q4[[#This Row],[Total]]</f>
        <v>0.98974095922031291</v>
      </c>
      <c r="AB259" s="1" t="str">
        <f>TEXT(urbanthreads_q4[[#This Row],[Order Date]],"mm-yyyy")</f>
        <v>11-2024</v>
      </c>
      <c r="AC259" s="1" t="str">
        <f>YEAR(urbanthreads_q4[[#This Row],[Order Date]]) &amp; "-W" &amp; WEEKNUM(urbanthreads_q4[[#This Row],[Order Date]], 2)</f>
        <v>2024-W44</v>
      </c>
      <c r="AD259" s="1" t="str">
        <f>IF(urbanthreads_q4[[#This Row],[Payment]]="COD","COD","Prepaid")</f>
        <v>Prepaid</v>
      </c>
    </row>
    <row r="260" spans="1:30" x14ac:dyDescent="0.3">
      <c r="A260" s="1" t="s">
        <v>1130</v>
      </c>
      <c r="B260" s="2">
        <v>45635</v>
      </c>
      <c r="C260" s="1" t="s">
        <v>1131</v>
      </c>
      <c r="D260" s="1" t="s">
        <v>25</v>
      </c>
      <c r="E260" s="1" t="s">
        <v>1132</v>
      </c>
      <c r="F260" s="1" t="s">
        <v>72</v>
      </c>
      <c r="G260" s="1" t="s">
        <v>1133</v>
      </c>
      <c r="H260">
        <v>899</v>
      </c>
      <c r="I260">
        <v>2</v>
      </c>
      <c r="J260">
        <v>1798</v>
      </c>
      <c r="K260" s="1" t="s">
        <v>995</v>
      </c>
      <c r="L260">
        <v>20</v>
      </c>
      <c r="M260" s="1" t="s">
        <v>112</v>
      </c>
      <c r="N260" s="1" t="s">
        <v>31</v>
      </c>
      <c r="O260" s="1" t="s">
        <v>32</v>
      </c>
      <c r="P260" s="1" t="s">
        <v>33</v>
      </c>
      <c r="Q260" s="1" t="s">
        <v>32</v>
      </c>
      <c r="R260" s="2">
        <v>45649</v>
      </c>
      <c r="S260" s="1" t="s">
        <v>34</v>
      </c>
      <c r="T260" s="1" t="s">
        <v>35</v>
      </c>
      <c r="U260" s="1" t="s">
        <v>29</v>
      </c>
      <c r="W260" s="1" t="s">
        <v>36</v>
      </c>
      <c r="X260" s="1" t="str">
        <f>IF(urbanthreads_q4[[#This Row],[Qty]]&gt;0,"Valid","Invalid")</f>
        <v>Valid</v>
      </c>
      <c r="Y260" s="1">
        <f>urbanthreads_q4[[#This Row],[Total]]*urbanthreads_q4[[#This Row],[Disc %]]/100</f>
        <v>359.6</v>
      </c>
      <c r="Z260" s="1">
        <f>urbanthreads_q4[[#This Row],[Total]]-urbanthreads_q4[[#This Row],[Disc %]]</f>
        <v>1778</v>
      </c>
      <c r="AA260" s="1">
        <f>urbanthreads_q4[[#This Row],[Net revenue]]/urbanthreads_q4[[#This Row],[Total]]</f>
        <v>0.98887652947719684</v>
      </c>
      <c r="AB260" s="1" t="str">
        <f>TEXT(urbanthreads_q4[[#This Row],[Order Date]],"mm-yyyy")</f>
        <v>12-2024</v>
      </c>
      <c r="AC260" s="1" t="str">
        <f>YEAR(urbanthreads_q4[[#This Row],[Order Date]]) &amp; "-W" &amp; WEEKNUM(urbanthreads_q4[[#This Row],[Order Date]], 2)</f>
        <v>2024-W50</v>
      </c>
      <c r="AD260" s="1" t="str">
        <f>IF(urbanthreads_q4[[#This Row],[Payment]]="COD","COD","Prepaid")</f>
        <v>Prepaid</v>
      </c>
    </row>
    <row r="261" spans="1:30" x14ac:dyDescent="0.3">
      <c r="A261" s="1" t="s">
        <v>624</v>
      </c>
      <c r="B261" s="2">
        <v>45597</v>
      </c>
      <c r="C261" s="1" t="s">
        <v>625</v>
      </c>
      <c r="D261" s="1" t="s">
        <v>39</v>
      </c>
      <c r="E261" s="1" t="s">
        <v>626</v>
      </c>
      <c r="F261" s="1" t="s">
        <v>62</v>
      </c>
      <c r="G261" s="1" t="s">
        <v>627</v>
      </c>
      <c r="H261">
        <v>6499</v>
      </c>
      <c r="I261">
        <v>1</v>
      </c>
      <c r="J261">
        <v>6499</v>
      </c>
      <c r="K261" s="1" t="s">
        <v>537</v>
      </c>
      <c r="L261">
        <v>40</v>
      </c>
      <c r="M261" s="1" t="s">
        <v>44</v>
      </c>
      <c r="N261" s="1" t="s">
        <v>45</v>
      </c>
      <c r="O261" s="1" t="s">
        <v>167</v>
      </c>
      <c r="P261" s="1" t="s">
        <v>151</v>
      </c>
      <c r="Q261" s="1" t="s">
        <v>32</v>
      </c>
      <c r="R261" s="2">
        <v>45609</v>
      </c>
      <c r="S261" s="1" t="s">
        <v>34</v>
      </c>
      <c r="T261" s="1" t="s">
        <v>47</v>
      </c>
      <c r="U261" s="1" t="s">
        <v>48</v>
      </c>
      <c r="V261" s="2">
        <v>45636</v>
      </c>
      <c r="W261" s="1" t="s">
        <v>49</v>
      </c>
      <c r="X261" s="1" t="str">
        <f>IF(urbanthreads_q4[[#This Row],[Qty]]&gt;0,"Valid","Invalid")</f>
        <v>Valid</v>
      </c>
      <c r="Y261" s="1">
        <f>urbanthreads_q4[[#This Row],[Total]]*urbanthreads_q4[[#This Row],[Disc %]]/100</f>
        <v>2599.6</v>
      </c>
      <c r="Z261" s="1">
        <f>urbanthreads_q4[[#This Row],[Total]]-urbanthreads_q4[[#This Row],[Disc %]]</f>
        <v>6459</v>
      </c>
      <c r="AA261" s="1">
        <f>urbanthreads_q4[[#This Row],[Net revenue]]/urbanthreads_q4[[#This Row],[Total]]</f>
        <v>0.99384520695491618</v>
      </c>
      <c r="AB261" s="1" t="str">
        <f>TEXT(urbanthreads_q4[[#This Row],[Order Date]],"mm-yyyy")</f>
        <v>11-2024</v>
      </c>
      <c r="AC261" s="1" t="str">
        <f>YEAR(urbanthreads_q4[[#This Row],[Order Date]]) &amp; "-W" &amp; WEEKNUM(urbanthreads_q4[[#This Row],[Order Date]], 2)</f>
        <v>2024-W44</v>
      </c>
      <c r="AD261" s="1" t="str">
        <f>IF(urbanthreads_q4[[#This Row],[Payment]]="COD","COD","Prepaid")</f>
        <v>Prepaid</v>
      </c>
    </row>
    <row r="262" spans="1:30" x14ac:dyDescent="0.3">
      <c r="A262" s="1" t="s">
        <v>632</v>
      </c>
      <c r="B262" s="2">
        <v>45598</v>
      </c>
      <c r="C262" s="1" t="s">
        <v>633</v>
      </c>
      <c r="D262" s="1" t="s">
        <v>25</v>
      </c>
      <c r="E262" s="1" t="s">
        <v>634</v>
      </c>
      <c r="F262" s="1" t="s">
        <v>27</v>
      </c>
      <c r="G262" s="1" t="s">
        <v>635</v>
      </c>
      <c r="H262">
        <v>2499</v>
      </c>
      <c r="I262">
        <v>1</v>
      </c>
      <c r="J262">
        <v>2499</v>
      </c>
      <c r="K262" s="1" t="s">
        <v>537</v>
      </c>
      <c r="L262">
        <v>40</v>
      </c>
      <c r="M262" s="1" t="s">
        <v>56</v>
      </c>
      <c r="N262" s="1" t="s">
        <v>31</v>
      </c>
      <c r="O262" s="1" t="s">
        <v>177</v>
      </c>
      <c r="P262" s="1" t="s">
        <v>68</v>
      </c>
      <c r="Q262" s="1" t="s">
        <v>57</v>
      </c>
      <c r="R262" s="2">
        <v>45608</v>
      </c>
      <c r="S262" s="1" t="s">
        <v>34</v>
      </c>
      <c r="T262" s="1" t="s">
        <v>47</v>
      </c>
      <c r="U262" s="1" t="s">
        <v>69</v>
      </c>
      <c r="V262" s="2">
        <v>45634</v>
      </c>
      <c r="W262" s="1" t="s">
        <v>49</v>
      </c>
      <c r="X262" s="1" t="str">
        <f>IF(urbanthreads_q4[[#This Row],[Qty]]&gt;0,"Valid","Invalid")</f>
        <v>Valid</v>
      </c>
      <c r="Y262" s="1">
        <f>urbanthreads_q4[[#This Row],[Total]]*urbanthreads_q4[[#This Row],[Disc %]]/100</f>
        <v>999.6</v>
      </c>
      <c r="Z262" s="1">
        <f>urbanthreads_q4[[#This Row],[Total]]-urbanthreads_q4[[#This Row],[Disc %]]</f>
        <v>2459</v>
      </c>
      <c r="AA262" s="1">
        <f>urbanthreads_q4[[#This Row],[Net revenue]]/urbanthreads_q4[[#This Row],[Total]]</f>
        <v>0.98399359743897563</v>
      </c>
      <c r="AB262" s="1" t="str">
        <f>TEXT(urbanthreads_q4[[#This Row],[Order Date]],"mm-yyyy")</f>
        <v>11-2024</v>
      </c>
      <c r="AC262" s="1" t="str">
        <f>YEAR(urbanthreads_q4[[#This Row],[Order Date]]) &amp; "-W" &amp; WEEKNUM(urbanthreads_q4[[#This Row],[Order Date]], 2)</f>
        <v>2024-W44</v>
      </c>
      <c r="AD262" s="1" t="str">
        <f>IF(urbanthreads_q4[[#This Row],[Payment]]="COD","COD","Prepaid")</f>
        <v>COD</v>
      </c>
    </row>
    <row r="263" spans="1:30" x14ac:dyDescent="0.3">
      <c r="A263" s="1" t="s">
        <v>1142</v>
      </c>
      <c r="B263" s="2">
        <v>45636</v>
      </c>
      <c r="C263" s="1" t="s">
        <v>1143</v>
      </c>
      <c r="D263" s="1" t="s">
        <v>25</v>
      </c>
      <c r="E263" s="1" t="s">
        <v>1144</v>
      </c>
      <c r="F263" s="1" t="s">
        <v>54</v>
      </c>
      <c r="G263" s="1" t="s">
        <v>1145</v>
      </c>
      <c r="H263">
        <v>2499</v>
      </c>
      <c r="I263">
        <v>1</v>
      </c>
      <c r="J263">
        <v>2499</v>
      </c>
      <c r="K263" s="1" t="s">
        <v>995</v>
      </c>
      <c r="L263">
        <v>20</v>
      </c>
      <c r="M263" s="1" t="s">
        <v>30</v>
      </c>
      <c r="N263" s="1" t="s">
        <v>31</v>
      </c>
      <c r="O263" s="1" t="s">
        <v>138</v>
      </c>
      <c r="P263" s="1" t="s">
        <v>114</v>
      </c>
      <c r="Q263" s="1" t="s">
        <v>46</v>
      </c>
      <c r="R263" s="2">
        <v>45651</v>
      </c>
      <c r="S263" s="1" t="s">
        <v>34</v>
      </c>
      <c r="T263" s="1" t="s">
        <v>35</v>
      </c>
      <c r="U263" s="1" t="s">
        <v>29</v>
      </c>
      <c r="W263" s="1" t="s">
        <v>36</v>
      </c>
      <c r="X263" s="1" t="str">
        <f>IF(urbanthreads_q4[[#This Row],[Qty]]&gt;0,"Valid","Invalid")</f>
        <v>Valid</v>
      </c>
      <c r="Y263" s="1">
        <f>urbanthreads_q4[[#This Row],[Total]]*urbanthreads_q4[[#This Row],[Disc %]]/100</f>
        <v>499.8</v>
      </c>
      <c r="Z263" s="1">
        <f>urbanthreads_q4[[#This Row],[Total]]-urbanthreads_q4[[#This Row],[Disc %]]</f>
        <v>2479</v>
      </c>
      <c r="AA263" s="1">
        <f>urbanthreads_q4[[#This Row],[Net revenue]]/urbanthreads_q4[[#This Row],[Total]]</f>
        <v>0.99199679871948776</v>
      </c>
      <c r="AB263" s="1" t="str">
        <f>TEXT(urbanthreads_q4[[#This Row],[Order Date]],"mm-yyyy")</f>
        <v>12-2024</v>
      </c>
      <c r="AC263" s="1" t="str">
        <f>YEAR(urbanthreads_q4[[#This Row],[Order Date]]) &amp; "-W" &amp; WEEKNUM(urbanthreads_q4[[#This Row],[Order Date]], 2)</f>
        <v>2024-W50</v>
      </c>
      <c r="AD263" s="1" t="str">
        <f>IF(urbanthreads_q4[[#This Row],[Payment]]="COD","COD","Prepaid")</f>
        <v>Prepaid</v>
      </c>
    </row>
    <row r="264" spans="1:30" x14ac:dyDescent="0.3">
      <c r="A264" s="1" t="s">
        <v>636</v>
      </c>
      <c r="B264" s="2">
        <v>45598</v>
      </c>
      <c r="C264" s="1" t="s">
        <v>637</v>
      </c>
      <c r="D264" s="1" t="s">
        <v>25</v>
      </c>
      <c r="E264" s="1" t="s">
        <v>638</v>
      </c>
      <c r="F264" s="1" t="s">
        <v>41</v>
      </c>
      <c r="G264" s="1" t="s">
        <v>639</v>
      </c>
      <c r="H264">
        <v>4599</v>
      </c>
      <c r="I264">
        <v>1</v>
      </c>
      <c r="J264">
        <v>4599</v>
      </c>
      <c r="K264" s="1" t="s">
        <v>537</v>
      </c>
      <c r="L264">
        <v>40</v>
      </c>
      <c r="M264" s="1" t="s">
        <v>30</v>
      </c>
      <c r="N264" s="1" t="s">
        <v>45</v>
      </c>
      <c r="O264" s="1" t="s">
        <v>182</v>
      </c>
      <c r="P264" s="1" t="s">
        <v>183</v>
      </c>
      <c r="Q264" s="1" t="s">
        <v>57</v>
      </c>
      <c r="R264" s="2">
        <v>45610</v>
      </c>
      <c r="S264" s="1" t="s">
        <v>34</v>
      </c>
      <c r="T264" s="1" t="s">
        <v>47</v>
      </c>
      <c r="U264" s="1" t="s">
        <v>48</v>
      </c>
      <c r="V264" s="2">
        <v>45638</v>
      </c>
      <c r="W264" s="1" t="s">
        <v>49</v>
      </c>
      <c r="X264" s="1" t="str">
        <f>IF(urbanthreads_q4[[#This Row],[Qty]]&gt;0,"Valid","Invalid")</f>
        <v>Valid</v>
      </c>
      <c r="Y264" s="1">
        <f>urbanthreads_q4[[#This Row],[Total]]*urbanthreads_q4[[#This Row],[Disc %]]/100</f>
        <v>1839.6</v>
      </c>
      <c r="Z264" s="1">
        <f>urbanthreads_q4[[#This Row],[Total]]-urbanthreads_q4[[#This Row],[Disc %]]</f>
        <v>4559</v>
      </c>
      <c r="AA264" s="1">
        <f>urbanthreads_q4[[#This Row],[Net revenue]]/urbanthreads_q4[[#This Row],[Total]]</f>
        <v>0.99130245705588171</v>
      </c>
      <c r="AB264" s="1" t="str">
        <f>TEXT(urbanthreads_q4[[#This Row],[Order Date]],"mm-yyyy")</f>
        <v>11-2024</v>
      </c>
      <c r="AC264" s="1" t="str">
        <f>YEAR(urbanthreads_q4[[#This Row],[Order Date]]) &amp; "-W" &amp; WEEKNUM(urbanthreads_q4[[#This Row],[Order Date]], 2)</f>
        <v>2024-W44</v>
      </c>
      <c r="AD264" s="1" t="str">
        <f>IF(urbanthreads_q4[[#This Row],[Payment]]="COD","COD","Prepaid")</f>
        <v>Prepaid</v>
      </c>
    </row>
    <row r="265" spans="1:30" x14ac:dyDescent="0.3">
      <c r="A265" s="1" t="s">
        <v>1150</v>
      </c>
      <c r="B265" s="2">
        <v>45636</v>
      </c>
      <c r="C265" s="1" t="s">
        <v>1151</v>
      </c>
      <c r="D265" s="1" t="s">
        <v>25</v>
      </c>
      <c r="E265" s="1" t="s">
        <v>1152</v>
      </c>
      <c r="F265" s="1" t="s">
        <v>72</v>
      </c>
      <c r="G265" s="1" t="s">
        <v>1153</v>
      </c>
      <c r="H265">
        <v>1199</v>
      </c>
      <c r="I265">
        <v>1</v>
      </c>
      <c r="J265">
        <v>1199</v>
      </c>
      <c r="K265" s="1" t="s">
        <v>29</v>
      </c>
      <c r="L265">
        <v>0</v>
      </c>
      <c r="M265" s="1" t="s">
        <v>112</v>
      </c>
      <c r="N265" s="1" t="s">
        <v>66</v>
      </c>
      <c r="O265" s="1" t="s">
        <v>150</v>
      </c>
      <c r="P265" s="1" t="s">
        <v>151</v>
      </c>
      <c r="Q265" s="1" t="s">
        <v>32</v>
      </c>
      <c r="R265" s="2">
        <v>45651</v>
      </c>
      <c r="S265" s="1" t="s">
        <v>34</v>
      </c>
      <c r="T265" s="1" t="s">
        <v>35</v>
      </c>
      <c r="U265" s="1" t="s">
        <v>29</v>
      </c>
      <c r="W265" s="1" t="s">
        <v>36</v>
      </c>
      <c r="X265" s="1" t="str">
        <f>IF(urbanthreads_q4[[#This Row],[Qty]]&gt;0,"Valid","Invalid")</f>
        <v>Valid</v>
      </c>
      <c r="Y265" s="1">
        <f>urbanthreads_q4[[#This Row],[Total]]*urbanthreads_q4[[#This Row],[Disc %]]/100</f>
        <v>0</v>
      </c>
      <c r="Z265" s="1">
        <f>urbanthreads_q4[[#This Row],[Total]]-urbanthreads_q4[[#This Row],[Disc %]]</f>
        <v>1199</v>
      </c>
      <c r="AA265" s="1">
        <f>urbanthreads_q4[[#This Row],[Net revenue]]/urbanthreads_q4[[#This Row],[Total]]</f>
        <v>1</v>
      </c>
      <c r="AB265" s="1" t="str">
        <f>TEXT(urbanthreads_q4[[#This Row],[Order Date]],"mm-yyyy")</f>
        <v>12-2024</v>
      </c>
      <c r="AC265" s="1" t="str">
        <f>YEAR(urbanthreads_q4[[#This Row],[Order Date]]) &amp; "-W" &amp; WEEKNUM(urbanthreads_q4[[#This Row],[Order Date]], 2)</f>
        <v>2024-W50</v>
      </c>
      <c r="AD265" s="1" t="str">
        <f>IF(urbanthreads_q4[[#This Row],[Payment]]="COD","COD","Prepaid")</f>
        <v>Prepaid</v>
      </c>
    </row>
    <row r="266" spans="1:30" x14ac:dyDescent="0.3">
      <c r="A266" s="1" t="s">
        <v>644</v>
      </c>
      <c r="B266" s="2">
        <v>45598</v>
      </c>
      <c r="C266" s="1" t="s">
        <v>645</v>
      </c>
      <c r="D266" s="1" t="s">
        <v>39</v>
      </c>
      <c r="E266" s="1" t="s">
        <v>646</v>
      </c>
      <c r="F266" s="1" t="s">
        <v>62</v>
      </c>
      <c r="G266" s="1" t="s">
        <v>647</v>
      </c>
      <c r="H266">
        <v>7999</v>
      </c>
      <c r="I266">
        <v>1</v>
      </c>
      <c r="J266">
        <v>7999</v>
      </c>
      <c r="K266" s="1" t="s">
        <v>537</v>
      </c>
      <c r="L266">
        <v>40</v>
      </c>
      <c r="M266" s="1" t="s">
        <v>112</v>
      </c>
      <c r="N266" s="1" t="s">
        <v>31</v>
      </c>
      <c r="O266" s="1" t="s">
        <v>194</v>
      </c>
      <c r="P266" s="1" t="s">
        <v>183</v>
      </c>
      <c r="Q266" s="1" t="s">
        <v>57</v>
      </c>
      <c r="R266" s="2">
        <v>45611</v>
      </c>
      <c r="S266" s="1" t="s">
        <v>34</v>
      </c>
      <c r="T266" s="1" t="s">
        <v>47</v>
      </c>
      <c r="U266" s="1" t="s">
        <v>80</v>
      </c>
      <c r="V266" s="2">
        <v>45640</v>
      </c>
      <c r="W266" s="1" t="s">
        <v>49</v>
      </c>
      <c r="X266" s="1" t="str">
        <f>IF(urbanthreads_q4[[#This Row],[Qty]]&gt;0,"Valid","Invalid")</f>
        <v>Valid</v>
      </c>
      <c r="Y266" s="1">
        <f>urbanthreads_q4[[#This Row],[Total]]*urbanthreads_q4[[#This Row],[Disc %]]/100</f>
        <v>3199.6</v>
      </c>
      <c r="Z266" s="1">
        <f>urbanthreads_q4[[#This Row],[Total]]-urbanthreads_q4[[#This Row],[Disc %]]</f>
        <v>7959</v>
      </c>
      <c r="AA266" s="1">
        <f>urbanthreads_q4[[#This Row],[Net revenue]]/urbanthreads_q4[[#This Row],[Total]]</f>
        <v>0.99499937492186519</v>
      </c>
      <c r="AB266" s="1" t="str">
        <f>TEXT(urbanthreads_q4[[#This Row],[Order Date]],"mm-yyyy")</f>
        <v>11-2024</v>
      </c>
      <c r="AC266" s="1" t="str">
        <f>YEAR(urbanthreads_q4[[#This Row],[Order Date]]) &amp; "-W" &amp; WEEKNUM(urbanthreads_q4[[#This Row],[Order Date]], 2)</f>
        <v>2024-W44</v>
      </c>
      <c r="AD266" s="1" t="str">
        <f>IF(urbanthreads_q4[[#This Row],[Payment]]="COD","COD","Prepaid")</f>
        <v>Prepaid</v>
      </c>
    </row>
    <row r="267" spans="1:30" x14ac:dyDescent="0.3">
      <c r="A267" s="1" t="s">
        <v>1158</v>
      </c>
      <c r="B267" s="2">
        <v>45637</v>
      </c>
      <c r="C267" s="1" t="s">
        <v>1159</v>
      </c>
      <c r="D267" s="1" t="s">
        <v>25</v>
      </c>
      <c r="E267" s="1" t="s">
        <v>1160</v>
      </c>
      <c r="F267" s="1" t="s">
        <v>41</v>
      </c>
      <c r="G267" s="1" t="s">
        <v>1161</v>
      </c>
      <c r="H267">
        <v>3599</v>
      </c>
      <c r="I267">
        <v>1</v>
      </c>
      <c r="J267">
        <v>3599</v>
      </c>
      <c r="K267" s="1" t="s">
        <v>29</v>
      </c>
      <c r="L267">
        <v>0</v>
      </c>
      <c r="M267" s="1" t="s">
        <v>44</v>
      </c>
      <c r="N267" s="1" t="s">
        <v>45</v>
      </c>
      <c r="O267" s="1" t="s">
        <v>161</v>
      </c>
      <c r="P267" s="1" t="s">
        <v>162</v>
      </c>
      <c r="Q267" s="1" t="s">
        <v>46</v>
      </c>
      <c r="R267" s="2">
        <v>45653</v>
      </c>
      <c r="S267" s="1" t="s">
        <v>34</v>
      </c>
      <c r="T267" s="1" t="s">
        <v>35</v>
      </c>
      <c r="U267" s="1" t="s">
        <v>29</v>
      </c>
      <c r="W267" s="1" t="s">
        <v>36</v>
      </c>
      <c r="X267" s="1" t="str">
        <f>IF(urbanthreads_q4[[#This Row],[Qty]]&gt;0,"Valid","Invalid")</f>
        <v>Valid</v>
      </c>
      <c r="Y267" s="1">
        <f>urbanthreads_q4[[#This Row],[Total]]*urbanthreads_q4[[#This Row],[Disc %]]/100</f>
        <v>0</v>
      </c>
      <c r="Z267" s="1">
        <f>urbanthreads_q4[[#This Row],[Total]]-urbanthreads_q4[[#This Row],[Disc %]]</f>
        <v>3599</v>
      </c>
      <c r="AA267" s="1">
        <f>urbanthreads_q4[[#This Row],[Net revenue]]/urbanthreads_q4[[#This Row],[Total]]</f>
        <v>1</v>
      </c>
      <c r="AB267" s="1" t="str">
        <f>TEXT(urbanthreads_q4[[#This Row],[Order Date]],"mm-yyyy")</f>
        <v>12-2024</v>
      </c>
      <c r="AC267" s="1" t="str">
        <f>YEAR(urbanthreads_q4[[#This Row],[Order Date]]) &amp; "-W" &amp; WEEKNUM(urbanthreads_q4[[#This Row],[Order Date]], 2)</f>
        <v>2024-W50</v>
      </c>
      <c r="AD267" s="1" t="str">
        <f>IF(urbanthreads_q4[[#This Row],[Payment]]="COD","COD","Prepaid")</f>
        <v>Prepaid</v>
      </c>
    </row>
    <row r="268" spans="1:30" x14ac:dyDescent="0.3">
      <c r="A268" s="1" t="s">
        <v>648</v>
      </c>
      <c r="B268" s="2">
        <v>45599</v>
      </c>
      <c r="C268" s="1" t="s">
        <v>649</v>
      </c>
      <c r="D268" s="1" t="s">
        <v>25</v>
      </c>
      <c r="E268" s="1" t="s">
        <v>650</v>
      </c>
      <c r="F268" s="1" t="s">
        <v>72</v>
      </c>
      <c r="G268" s="1" t="s">
        <v>651</v>
      </c>
      <c r="H268">
        <v>2499</v>
      </c>
      <c r="I268">
        <v>1</v>
      </c>
      <c r="J268">
        <v>2499</v>
      </c>
      <c r="K268" s="1" t="s">
        <v>537</v>
      </c>
      <c r="L268">
        <v>40</v>
      </c>
      <c r="M268" s="1" t="s">
        <v>65</v>
      </c>
      <c r="N268" s="1" t="s">
        <v>45</v>
      </c>
      <c r="O268" s="1" t="s">
        <v>199</v>
      </c>
      <c r="P268" s="1" t="s">
        <v>58</v>
      </c>
      <c r="Q268" s="1" t="s">
        <v>57</v>
      </c>
      <c r="R268" s="2">
        <v>45610</v>
      </c>
      <c r="S268" s="1" t="s">
        <v>34</v>
      </c>
      <c r="T268" s="1" t="s">
        <v>47</v>
      </c>
      <c r="U268" s="1" t="s">
        <v>139</v>
      </c>
      <c r="V268" s="2">
        <v>45638</v>
      </c>
      <c r="W268" s="1" t="s">
        <v>49</v>
      </c>
      <c r="X268" s="1" t="str">
        <f>IF(urbanthreads_q4[[#This Row],[Qty]]&gt;0,"Valid","Invalid")</f>
        <v>Valid</v>
      </c>
      <c r="Y268" s="1">
        <f>urbanthreads_q4[[#This Row],[Total]]*urbanthreads_q4[[#This Row],[Disc %]]/100</f>
        <v>999.6</v>
      </c>
      <c r="Z268" s="1">
        <f>urbanthreads_q4[[#This Row],[Total]]-urbanthreads_q4[[#This Row],[Disc %]]</f>
        <v>2459</v>
      </c>
      <c r="AA268" s="1">
        <f>urbanthreads_q4[[#This Row],[Net revenue]]/urbanthreads_q4[[#This Row],[Total]]</f>
        <v>0.98399359743897563</v>
      </c>
      <c r="AB268" s="1" t="str">
        <f>TEXT(urbanthreads_q4[[#This Row],[Order Date]],"mm-yyyy")</f>
        <v>11-2024</v>
      </c>
      <c r="AC268" s="1" t="str">
        <f>YEAR(urbanthreads_q4[[#This Row],[Order Date]]) &amp; "-W" &amp; WEEKNUM(urbanthreads_q4[[#This Row],[Order Date]], 2)</f>
        <v>2024-W44</v>
      </c>
      <c r="AD268" s="1" t="str">
        <f>IF(urbanthreads_q4[[#This Row],[Payment]]="COD","COD","Prepaid")</f>
        <v>Prepaid</v>
      </c>
    </row>
    <row r="269" spans="1:30" x14ac:dyDescent="0.3">
      <c r="A269" s="1" t="s">
        <v>652</v>
      </c>
      <c r="B269" s="2">
        <v>45599</v>
      </c>
      <c r="C269" s="1" t="s">
        <v>653</v>
      </c>
      <c r="D269" s="1" t="s">
        <v>25</v>
      </c>
      <c r="E269" s="1" t="s">
        <v>654</v>
      </c>
      <c r="F269" s="1" t="s">
        <v>27</v>
      </c>
      <c r="G269" s="1" t="s">
        <v>655</v>
      </c>
      <c r="H269">
        <v>2299</v>
      </c>
      <c r="I269">
        <v>1</v>
      </c>
      <c r="J269">
        <v>2299</v>
      </c>
      <c r="K269" s="1" t="s">
        <v>537</v>
      </c>
      <c r="L269">
        <v>40</v>
      </c>
      <c r="M269" s="1" t="s">
        <v>30</v>
      </c>
      <c r="N269" s="1" t="s">
        <v>66</v>
      </c>
      <c r="O269" s="1" t="s">
        <v>204</v>
      </c>
      <c r="P269" s="1" t="s">
        <v>98</v>
      </c>
      <c r="Q269" s="1" t="s">
        <v>32</v>
      </c>
      <c r="R269" s="2">
        <v>45611</v>
      </c>
      <c r="S269" s="1" t="s">
        <v>34</v>
      </c>
      <c r="T269" s="1" t="s">
        <v>47</v>
      </c>
      <c r="U269" s="1" t="s">
        <v>48</v>
      </c>
      <c r="V269" s="2">
        <v>45639</v>
      </c>
      <c r="W269" s="1" t="s">
        <v>49</v>
      </c>
      <c r="X269" s="1" t="str">
        <f>IF(urbanthreads_q4[[#This Row],[Qty]]&gt;0,"Valid","Invalid")</f>
        <v>Valid</v>
      </c>
      <c r="Y269" s="1">
        <f>urbanthreads_q4[[#This Row],[Total]]*urbanthreads_q4[[#This Row],[Disc %]]/100</f>
        <v>919.6</v>
      </c>
      <c r="Z269" s="1">
        <f>urbanthreads_q4[[#This Row],[Total]]-urbanthreads_q4[[#This Row],[Disc %]]</f>
        <v>2259</v>
      </c>
      <c r="AA269" s="1">
        <f>urbanthreads_q4[[#This Row],[Net revenue]]/urbanthreads_q4[[#This Row],[Total]]</f>
        <v>0.98260113092648982</v>
      </c>
      <c r="AB269" s="1" t="str">
        <f>TEXT(urbanthreads_q4[[#This Row],[Order Date]],"mm-yyyy")</f>
        <v>11-2024</v>
      </c>
      <c r="AC269" s="1" t="str">
        <f>YEAR(urbanthreads_q4[[#This Row],[Order Date]]) &amp; "-W" &amp; WEEKNUM(urbanthreads_q4[[#This Row],[Order Date]], 2)</f>
        <v>2024-W44</v>
      </c>
      <c r="AD269" s="1" t="str">
        <f>IF(urbanthreads_q4[[#This Row],[Payment]]="COD","COD","Prepaid")</f>
        <v>Prepaid</v>
      </c>
    </row>
    <row r="270" spans="1:30" x14ac:dyDescent="0.3">
      <c r="A270" s="1" t="s">
        <v>1170</v>
      </c>
      <c r="B270" s="2">
        <v>45637</v>
      </c>
      <c r="C270" s="1" t="s">
        <v>1171</v>
      </c>
      <c r="D270" s="1" t="s">
        <v>25</v>
      </c>
      <c r="E270" s="1" t="s">
        <v>1172</v>
      </c>
      <c r="F270" s="1" t="s">
        <v>72</v>
      </c>
      <c r="G270" s="1" t="s">
        <v>1173</v>
      </c>
      <c r="H270">
        <v>399</v>
      </c>
      <c r="I270">
        <v>3</v>
      </c>
      <c r="J270">
        <v>1197</v>
      </c>
      <c r="K270" s="1" t="s">
        <v>29</v>
      </c>
      <c r="L270">
        <v>0</v>
      </c>
      <c r="M270" s="1" t="s">
        <v>112</v>
      </c>
      <c r="N270" s="1" t="s">
        <v>45</v>
      </c>
      <c r="O270" s="1" t="s">
        <v>177</v>
      </c>
      <c r="P270" s="1" t="s">
        <v>68</v>
      </c>
      <c r="Q270" s="1" t="s">
        <v>57</v>
      </c>
      <c r="R270" s="2">
        <v>45653</v>
      </c>
      <c r="S270" s="1" t="s">
        <v>34</v>
      </c>
      <c r="T270" s="1" t="s">
        <v>35</v>
      </c>
      <c r="U270" s="1" t="s">
        <v>29</v>
      </c>
      <c r="W270" s="1" t="s">
        <v>36</v>
      </c>
      <c r="X270" s="1" t="str">
        <f>IF(urbanthreads_q4[[#This Row],[Qty]]&gt;0,"Valid","Invalid")</f>
        <v>Valid</v>
      </c>
      <c r="Y270" s="1">
        <f>urbanthreads_q4[[#This Row],[Total]]*urbanthreads_q4[[#This Row],[Disc %]]/100</f>
        <v>0</v>
      </c>
      <c r="Z270" s="1">
        <f>urbanthreads_q4[[#This Row],[Total]]-urbanthreads_q4[[#This Row],[Disc %]]</f>
        <v>1197</v>
      </c>
      <c r="AA270" s="1">
        <f>urbanthreads_q4[[#This Row],[Net revenue]]/urbanthreads_q4[[#This Row],[Total]]</f>
        <v>1</v>
      </c>
      <c r="AB270" s="1" t="str">
        <f>TEXT(urbanthreads_q4[[#This Row],[Order Date]],"mm-yyyy")</f>
        <v>12-2024</v>
      </c>
      <c r="AC270" s="1" t="str">
        <f>YEAR(urbanthreads_q4[[#This Row],[Order Date]]) &amp; "-W" &amp; WEEKNUM(urbanthreads_q4[[#This Row],[Order Date]], 2)</f>
        <v>2024-W50</v>
      </c>
      <c r="AD270" s="1" t="str">
        <f>IF(urbanthreads_q4[[#This Row],[Payment]]="COD","COD","Prepaid")</f>
        <v>Prepaid</v>
      </c>
    </row>
    <row r="271" spans="1:30" x14ac:dyDescent="0.3">
      <c r="A271" s="1" t="s">
        <v>656</v>
      </c>
      <c r="B271" s="2">
        <v>45599</v>
      </c>
      <c r="C271" s="1" t="s">
        <v>657</v>
      </c>
      <c r="D271" s="1" t="s">
        <v>25</v>
      </c>
      <c r="E271" s="1" t="s">
        <v>476</v>
      </c>
      <c r="F271" s="1" t="s">
        <v>41</v>
      </c>
      <c r="G271" s="1" t="s">
        <v>658</v>
      </c>
      <c r="H271">
        <v>5999</v>
      </c>
      <c r="I271">
        <v>1</v>
      </c>
      <c r="J271">
        <v>5999</v>
      </c>
      <c r="K271" s="1" t="s">
        <v>537</v>
      </c>
      <c r="L271">
        <v>40</v>
      </c>
      <c r="M271" s="1" t="s">
        <v>44</v>
      </c>
      <c r="N271" s="1" t="s">
        <v>31</v>
      </c>
      <c r="O271" s="1" t="s">
        <v>209</v>
      </c>
      <c r="P271" s="1" t="s">
        <v>98</v>
      </c>
      <c r="Q271" s="1" t="s">
        <v>32</v>
      </c>
      <c r="R271" s="2">
        <v>45612</v>
      </c>
      <c r="S271" s="1" t="s">
        <v>34</v>
      </c>
      <c r="T271" s="1" t="s">
        <v>47</v>
      </c>
      <c r="U271" s="1" t="s">
        <v>105</v>
      </c>
      <c r="V271" s="2">
        <v>45641</v>
      </c>
      <c r="W271" s="1" t="s">
        <v>49</v>
      </c>
      <c r="X271" s="1" t="str">
        <f>IF(urbanthreads_q4[[#This Row],[Qty]]&gt;0,"Valid","Invalid")</f>
        <v>Valid</v>
      </c>
      <c r="Y271" s="1">
        <f>urbanthreads_q4[[#This Row],[Total]]*urbanthreads_q4[[#This Row],[Disc %]]/100</f>
        <v>2399.6</v>
      </c>
      <c r="Z271" s="1">
        <f>urbanthreads_q4[[#This Row],[Total]]-urbanthreads_q4[[#This Row],[Disc %]]</f>
        <v>5959</v>
      </c>
      <c r="AA271" s="1">
        <f>urbanthreads_q4[[#This Row],[Net revenue]]/urbanthreads_q4[[#This Row],[Total]]</f>
        <v>0.99333222203700622</v>
      </c>
      <c r="AB271" s="1" t="str">
        <f>TEXT(urbanthreads_q4[[#This Row],[Order Date]],"mm-yyyy")</f>
        <v>11-2024</v>
      </c>
      <c r="AC271" s="1" t="str">
        <f>YEAR(urbanthreads_q4[[#This Row],[Order Date]]) &amp; "-W" &amp; WEEKNUM(urbanthreads_q4[[#This Row],[Order Date]], 2)</f>
        <v>2024-W44</v>
      </c>
      <c r="AD271" s="1" t="str">
        <f>IF(urbanthreads_q4[[#This Row],[Payment]]="COD","COD","Prepaid")</f>
        <v>Prepaid</v>
      </c>
    </row>
    <row r="272" spans="1:30" x14ac:dyDescent="0.3">
      <c r="A272" s="1" t="s">
        <v>1178</v>
      </c>
      <c r="B272" s="2">
        <v>45638</v>
      </c>
      <c r="C272" s="1" t="s">
        <v>1179</v>
      </c>
      <c r="D272" s="1" t="s">
        <v>25</v>
      </c>
      <c r="E272" s="1" t="s">
        <v>1180</v>
      </c>
      <c r="F272" s="1" t="s">
        <v>41</v>
      </c>
      <c r="G272" s="1" t="s">
        <v>1181</v>
      </c>
      <c r="H272">
        <v>4299</v>
      </c>
      <c r="I272">
        <v>1</v>
      </c>
      <c r="J272">
        <v>4299</v>
      </c>
      <c r="K272" s="1" t="s">
        <v>995</v>
      </c>
      <c r="L272">
        <v>20</v>
      </c>
      <c r="M272" s="1" t="s">
        <v>44</v>
      </c>
      <c r="N272" s="1" t="s">
        <v>31</v>
      </c>
      <c r="O272" s="1" t="s">
        <v>188</v>
      </c>
      <c r="P272" s="1" t="s">
        <v>189</v>
      </c>
      <c r="Q272" s="1" t="s">
        <v>57</v>
      </c>
      <c r="R272" s="2">
        <v>45655</v>
      </c>
      <c r="S272" s="1" t="s">
        <v>34</v>
      </c>
      <c r="T272" s="1" t="s">
        <v>35</v>
      </c>
      <c r="U272" s="1" t="s">
        <v>29</v>
      </c>
      <c r="W272" s="1" t="s">
        <v>36</v>
      </c>
      <c r="X272" s="1" t="str">
        <f>IF(urbanthreads_q4[[#This Row],[Qty]]&gt;0,"Valid","Invalid")</f>
        <v>Valid</v>
      </c>
      <c r="Y272" s="1">
        <f>urbanthreads_q4[[#This Row],[Total]]*urbanthreads_q4[[#This Row],[Disc %]]/100</f>
        <v>859.8</v>
      </c>
      <c r="Z272" s="1">
        <f>urbanthreads_q4[[#This Row],[Total]]-urbanthreads_q4[[#This Row],[Disc %]]</f>
        <v>4279</v>
      </c>
      <c r="AA272" s="1">
        <f>urbanthreads_q4[[#This Row],[Net revenue]]/urbanthreads_q4[[#This Row],[Total]]</f>
        <v>0.99534775529192832</v>
      </c>
      <c r="AB272" s="1" t="str">
        <f>TEXT(urbanthreads_q4[[#This Row],[Order Date]],"mm-yyyy")</f>
        <v>12-2024</v>
      </c>
      <c r="AC272" s="1" t="str">
        <f>YEAR(urbanthreads_q4[[#This Row],[Order Date]]) &amp; "-W" &amp; WEEKNUM(urbanthreads_q4[[#This Row],[Order Date]], 2)</f>
        <v>2024-W50</v>
      </c>
      <c r="AD272" s="1" t="str">
        <f>IF(urbanthreads_q4[[#This Row],[Payment]]="COD","COD","Prepaid")</f>
        <v>Prepaid</v>
      </c>
    </row>
    <row r="273" spans="1:30" x14ac:dyDescent="0.3">
      <c r="A273" s="1" t="s">
        <v>434</v>
      </c>
      <c r="B273" s="2">
        <v>45586</v>
      </c>
      <c r="C273" s="1" t="s">
        <v>435</v>
      </c>
      <c r="D273" s="1" t="s">
        <v>39</v>
      </c>
      <c r="E273" s="1" t="s">
        <v>436</v>
      </c>
      <c r="F273" s="1" t="s">
        <v>41</v>
      </c>
      <c r="G273" s="1" t="s">
        <v>437</v>
      </c>
      <c r="H273">
        <v>2699</v>
      </c>
      <c r="I273">
        <v>1</v>
      </c>
      <c r="J273">
        <v>2699</v>
      </c>
      <c r="K273" s="1" t="s">
        <v>43</v>
      </c>
      <c r="L273">
        <v>20</v>
      </c>
      <c r="M273" s="1" t="s">
        <v>44</v>
      </c>
      <c r="N273" s="1" t="s">
        <v>45</v>
      </c>
      <c r="O273" s="1" t="s">
        <v>214</v>
      </c>
      <c r="P273" s="1" t="s">
        <v>114</v>
      </c>
      <c r="Q273" s="1" t="s">
        <v>46</v>
      </c>
      <c r="R273" s="2">
        <v>45597</v>
      </c>
      <c r="S273" s="1" t="s">
        <v>34</v>
      </c>
      <c r="T273" s="1" t="s">
        <v>47</v>
      </c>
      <c r="U273" s="1" t="s">
        <v>69</v>
      </c>
      <c r="V273" s="2">
        <v>45626</v>
      </c>
      <c r="W273" s="1" t="s">
        <v>49</v>
      </c>
      <c r="X273" s="1" t="str">
        <f>IF(urbanthreads_q4[[#This Row],[Qty]]&gt;0,"Valid","Invalid")</f>
        <v>Valid</v>
      </c>
      <c r="Y273" s="1">
        <f>urbanthreads_q4[[#This Row],[Total]]*urbanthreads_q4[[#This Row],[Disc %]]/100</f>
        <v>539.79999999999995</v>
      </c>
      <c r="Z273" s="1">
        <f>urbanthreads_q4[[#This Row],[Total]]-urbanthreads_q4[[#This Row],[Disc %]]</f>
        <v>2679</v>
      </c>
      <c r="AA273" s="1">
        <f>urbanthreads_q4[[#This Row],[Net revenue]]/urbanthreads_q4[[#This Row],[Total]]</f>
        <v>0.99258984809188588</v>
      </c>
      <c r="AB273" s="1" t="str">
        <f>TEXT(urbanthreads_q4[[#This Row],[Order Date]],"mm-yyyy")</f>
        <v>10-2024</v>
      </c>
      <c r="AC273" s="1" t="str">
        <f>YEAR(urbanthreads_q4[[#This Row],[Order Date]]) &amp; "-W" &amp; WEEKNUM(urbanthreads_q4[[#This Row],[Order Date]], 2)</f>
        <v>2024-W43</v>
      </c>
      <c r="AD273" s="1" t="str">
        <f>IF(urbanthreads_q4[[#This Row],[Payment]]="COD","COD","Prepaid")</f>
        <v>Prepaid</v>
      </c>
    </row>
    <row r="274" spans="1:30" x14ac:dyDescent="0.3">
      <c r="A274" s="1" t="s">
        <v>1186</v>
      </c>
      <c r="B274" s="2">
        <v>45638</v>
      </c>
      <c r="C274" s="1" t="s">
        <v>1187</v>
      </c>
      <c r="D274" s="1" t="s">
        <v>39</v>
      </c>
      <c r="E274" s="1" t="s">
        <v>1188</v>
      </c>
      <c r="F274" s="1" t="s">
        <v>62</v>
      </c>
      <c r="G274" s="1" t="s">
        <v>1189</v>
      </c>
      <c r="H274">
        <v>6299</v>
      </c>
      <c r="I274">
        <v>1</v>
      </c>
      <c r="J274">
        <v>6299</v>
      </c>
      <c r="K274" s="1" t="s">
        <v>29</v>
      </c>
      <c r="L274">
        <v>0</v>
      </c>
      <c r="M274" s="1" t="s">
        <v>56</v>
      </c>
      <c r="N274" s="1" t="s">
        <v>66</v>
      </c>
      <c r="O274" s="1" t="s">
        <v>199</v>
      </c>
      <c r="P274" s="1" t="s">
        <v>58</v>
      </c>
      <c r="Q274" s="1" t="s">
        <v>57</v>
      </c>
      <c r="S274" s="1" t="s">
        <v>121</v>
      </c>
      <c r="T274" s="1" t="s">
        <v>35</v>
      </c>
      <c r="U274" s="1" t="s">
        <v>29</v>
      </c>
      <c r="W274" s="1" t="s">
        <v>36</v>
      </c>
      <c r="X274" s="1" t="str">
        <f>IF(urbanthreads_q4[[#This Row],[Qty]]&gt;0,"Valid","Invalid")</f>
        <v>Valid</v>
      </c>
      <c r="Y274" s="1">
        <f>urbanthreads_q4[[#This Row],[Total]]*urbanthreads_q4[[#This Row],[Disc %]]/100</f>
        <v>0</v>
      </c>
      <c r="Z274" s="1">
        <f>urbanthreads_q4[[#This Row],[Total]]-urbanthreads_q4[[#This Row],[Disc %]]</f>
        <v>6299</v>
      </c>
      <c r="AA274" s="1">
        <f>urbanthreads_q4[[#This Row],[Net revenue]]/urbanthreads_q4[[#This Row],[Total]]</f>
        <v>1</v>
      </c>
      <c r="AB274" s="1" t="str">
        <f>TEXT(urbanthreads_q4[[#This Row],[Order Date]],"mm-yyyy")</f>
        <v>12-2024</v>
      </c>
      <c r="AC274" s="1" t="str">
        <f>YEAR(urbanthreads_q4[[#This Row],[Order Date]]) &amp; "-W" &amp; WEEKNUM(urbanthreads_q4[[#This Row],[Order Date]], 2)</f>
        <v>2024-W50</v>
      </c>
      <c r="AD274" s="1" t="str">
        <f>IF(urbanthreads_q4[[#This Row],[Payment]]="COD","COD","Prepaid")</f>
        <v>COD</v>
      </c>
    </row>
    <row r="275" spans="1:30" x14ac:dyDescent="0.3">
      <c r="A275" s="1" t="s">
        <v>1190</v>
      </c>
      <c r="B275" s="2">
        <v>45639</v>
      </c>
      <c r="C275" s="1" t="s">
        <v>1191</v>
      </c>
      <c r="D275" s="1" t="s">
        <v>25</v>
      </c>
      <c r="E275" s="1" t="s">
        <v>1192</v>
      </c>
      <c r="F275" s="1" t="s">
        <v>72</v>
      </c>
      <c r="G275" s="1" t="s">
        <v>1193</v>
      </c>
      <c r="H275">
        <v>599</v>
      </c>
      <c r="I275">
        <v>2</v>
      </c>
      <c r="J275">
        <v>1198</v>
      </c>
      <c r="K275" s="1" t="s">
        <v>995</v>
      </c>
      <c r="L275">
        <v>20</v>
      </c>
      <c r="M275" s="1" t="s">
        <v>112</v>
      </c>
      <c r="N275" s="1" t="s">
        <v>31</v>
      </c>
      <c r="O275" s="1" t="s">
        <v>204</v>
      </c>
      <c r="P275" s="1" t="s">
        <v>98</v>
      </c>
      <c r="Q275" s="1" t="s">
        <v>32</v>
      </c>
      <c r="R275" s="2">
        <v>45655</v>
      </c>
      <c r="S275" s="1" t="s">
        <v>34</v>
      </c>
      <c r="T275" s="1" t="s">
        <v>35</v>
      </c>
      <c r="U275" s="1" t="s">
        <v>29</v>
      </c>
      <c r="W275" s="1" t="s">
        <v>36</v>
      </c>
      <c r="X275" s="1" t="str">
        <f>IF(urbanthreads_q4[[#This Row],[Qty]]&gt;0,"Valid","Invalid")</f>
        <v>Valid</v>
      </c>
      <c r="Y275" s="1">
        <f>urbanthreads_q4[[#This Row],[Total]]*urbanthreads_q4[[#This Row],[Disc %]]/100</f>
        <v>239.6</v>
      </c>
      <c r="Z275" s="1">
        <f>urbanthreads_q4[[#This Row],[Total]]-urbanthreads_q4[[#This Row],[Disc %]]</f>
        <v>1178</v>
      </c>
      <c r="AA275" s="1">
        <f>urbanthreads_q4[[#This Row],[Net revenue]]/urbanthreads_q4[[#This Row],[Total]]</f>
        <v>0.98330550918196991</v>
      </c>
      <c r="AB275" s="1" t="str">
        <f>TEXT(urbanthreads_q4[[#This Row],[Order Date]],"mm-yyyy")</f>
        <v>12-2024</v>
      </c>
      <c r="AC275" s="1" t="str">
        <f>YEAR(urbanthreads_q4[[#This Row],[Order Date]]) &amp; "-W" &amp; WEEKNUM(urbanthreads_q4[[#This Row],[Order Date]], 2)</f>
        <v>2024-W50</v>
      </c>
      <c r="AD275" s="1" t="str">
        <f>IF(urbanthreads_q4[[#This Row],[Payment]]="COD","COD","Prepaid")</f>
        <v>Prepaid</v>
      </c>
    </row>
    <row r="276" spans="1:30" x14ac:dyDescent="0.3">
      <c r="A276" s="1" t="s">
        <v>442</v>
      </c>
      <c r="B276" s="2">
        <v>45587</v>
      </c>
      <c r="C276" s="1" t="s">
        <v>443</v>
      </c>
      <c r="D276" s="1" t="s">
        <v>25</v>
      </c>
      <c r="E276" s="1" t="s">
        <v>444</v>
      </c>
      <c r="F276" s="1" t="s">
        <v>62</v>
      </c>
      <c r="G276" s="1" t="s">
        <v>445</v>
      </c>
      <c r="H276">
        <v>3299</v>
      </c>
      <c r="I276">
        <v>1</v>
      </c>
      <c r="J276">
        <v>3299</v>
      </c>
      <c r="K276" s="1" t="s">
        <v>29</v>
      </c>
      <c r="L276">
        <v>0</v>
      </c>
      <c r="M276" s="1" t="s">
        <v>65</v>
      </c>
      <c r="N276" s="1" t="s">
        <v>66</v>
      </c>
      <c r="O276" s="1" t="s">
        <v>46</v>
      </c>
      <c r="P276" s="1" t="s">
        <v>46</v>
      </c>
      <c r="Q276" s="1" t="s">
        <v>46</v>
      </c>
      <c r="R276" s="2">
        <v>45600</v>
      </c>
      <c r="S276" s="1" t="s">
        <v>34</v>
      </c>
      <c r="T276" s="1" t="s">
        <v>47</v>
      </c>
      <c r="U276" s="1" t="s">
        <v>105</v>
      </c>
      <c r="V276" s="2">
        <v>45629</v>
      </c>
      <c r="W276" s="1" t="s">
        <v>49</v>
      </c>
      <c r="X276" s="1" t="str">
        <f>IF(urbanthreads_q4[[#This Row],[Qty]]&gt;0,"Valid","Invalid")</f>
        <v>Valid</v>
      </c>
      <c r="Y276" s="1">
        <f>urbanthreads_q4[[#This Row],[Total]]*urbanthreads_q4[[#This Row],[Disc %]]/100</f>
        <v>0</v>
      </c>
      <c r="Z276" s="1">
        <f>urbanthreads_q4[[#This Row],[Total]]-urbanthreads_q4[[#This Row],[Disc %]]</f>
        <v>3299</v>
      </c>
      <c r="AA276" s="1">
        <f>urbanthreads_q4[[#This Row],[Net revenue]]/urbanthreads_q4[[#This Row],[Total]]</f>
        <v>1</v>
      </c>
      <c r="AB276" s="1" t="str">
        <f>TEXT(urbanthreads_q4[[#This Row],[Order Date]],"mm-yyyy")</f>
        <v>10-2024</v>
      </c>
      <c r="AC276" s="1" t="str">
        <f>YEAR(urbanthreads_q4[[#This Row],[Order Date]]) &amp; "-W" &amp; WEEKNUM(urbanthreads_q4[[#This Row],[Order Date]], 2)</f>
        <v>2024-W43</v>
      </c>
      <c r="AD276" s="1" t="str">
        <f>IF(urbanthreads_q4[[#This Row],[Payment]]="COD","COD","Prepaid")</f>
        <v>Prepaid</v>
      </c>
    </row>
    <row r="277" spans="1:30" x14ac:dyDescent="0.3">
      <c r="A277" s="1" t="s">
        <v>458</v>
      </c>
      <c r="B277" s="2">
        <v>45588</v>
      </c>
      <c r="C277" s="1" t="s">
        <v>459</v>
      </c>
      <c r="D277" s="1" t="s">
        <v>25</v>
      </c>
      <c r="E277" s="1" t="s">
        <v>460</v>
      </c>
      <c r="F277" s="1" t="s">
        <v>27</v>
      </c>
      <c r="G277" s="1" t="s">
        <v>461</v>
      </c>
      <c r="H277">
        <v>1399</v>
      </c>
      <c r="I277">
        <v>1</v>
      </c>
      <c r="J277">
        <v>1399</v>
      </c>
      <c r="K277" s="1" t="s">
        <v>43</v>
      </c>
      <c r="L277">
        <v>20</v>
      </c>
      <c r="M277" s="1" t="s">
        <v>112</v>
      </c>
      <c r="N277" s="1" t="s">
        <v>45</v>
      </c>
      <c r="O277" s="1" t="s">
        <v>85</v>
      </c>
      <c r="P277" s="1" t="s">
        <v>33</v>
      </c>
      <c r="Q277" s="1" t="s">
        <v>32</v>
      </c>
      <c r="R277" s="2">
        <v>45599</v>
      </c>
      <c r="S277" s="1" t="s">
        <v>34</v>
      </c>
      <c r="T277" s="1" t="s">
        <v>47</v>
      </c>
      <c r="U277" s="1" t="s">
        <v>48</v>
      </c>
      <c r="V277" s="2">
        <v>45628</v>
      </c>
      <c r="W277" s="1" t="s">
        <v>49</v>
      </c>
      <c r="X277" s="1" t="str">
        <f>IF(urbanthreads_q4[[#This Row],[Qty]]&gt;0,"Valid","Invalid")</f>
        <v>Valid</v>
      </c>
      <c r="Y277" s="1">
        <f>urbanthreads_q4[[#This Row],[Total]]*urbanthreads_q4[[#This Row],[Disc %]]/100</f>
        <v>279.8</v>
      </c>
      <c r="Z277" s="1">
        <f>urbanthreads_q4[[#This Row],[Total]]-urbanthreads_q4[[#This Row],[Disc %]]</f>
        <v>1379</v>
      </c>
      <c r="AA277" s="1">
        <f>urbanthreads_q4[[#This Row],[Net revenue]]/urbanthreads_q4[[#This Row],[Total]]</f>
        <v>0.98570407433881346</v>
      </c>
      <c r="AB277" s="1" t="str">
        <f>TEXT(urbanthreads_q4[[#This Row],[Order Date]],"mm-yyyy")</f>
        <v>10-2024</v>
      </c>
      <c r="AC277" s="1" t="str">
        <f>YEAR(urbanthreads_q4[[#This Row],[Order Date]]) &amp; "-W" &amp; WEEKNUM(urbanthreads_q4[[#This Row],[Order Date]], 2)</f>
        <v>2024-W43</v>
      </c>
      <c r="AD277" s="1" t="str">
        <f>IF(urbanthreads_q4[[#This Row],[Payment]]="COD","COD","Prepaid")</f>
        <v>Prepaid</v>
      </c>
    </row>
    <row r="278" spans="1:30" x14ac:dyDescent="0.3">
      <c r="A278" s="1" t="s">
        <v>1202</v>
      </c>
      <c r="B278" s="2">
        <v>45639</v>
      </c>
      <c r="C278" s="1" t="s">
        <v>1203</v>
      </c>
      <c r="D278" s="1" t="s">
        <v>25</v>
      </c>
      <c r="E278" s="1" t="s">
        <v>1204</v>
      </c>
      <c r="F278" s="1" t="s">
        <v>54</v>
      </c>
      <c r="G278" s="1" t="s">
        <v>1205</v>
      </c>
      <c r="H278">
        <v>1899</v>
      </c>
      <c r="I278">
        <v>1</v>
      </c>
      <c r="J278">
        <v>1899</v>
      </c>
      <c r="K278" s="1" t="s">
        <v>995</v>
      </c>
      <c r="L278">
        <v>20</v>
      </c>
      <c r="M278" s="1" t="s">
        <v>30</v>
      </c>
      <c r="N278" s="1" t="s">
        <v>31</v>
      </c>
      <c r="O278" s="1" t="s">
        <v>32</v>
      </c>
      <c r="P278" s="1" t="s">
        <v>33</v>
      </c>
      <c r="Q278" s="1" t="s">
        <v>32</v>
      </c>
      <c r="R278" s="2">
        <v>45656</v>
      </c>
      <c r="S278" s="1" t="s">
        <v>34</v>
      </c>
      <c r="T278" s="1" t="s">
        <v>35</v>
      </c>
      <c r="U278" s="1" t="s">
        <v>29</v>
      </c>
      <c r="W278" s="1" t="s">
        <v>36</v>
      </c>
      <c r="X278" s="1" t="str">
        <f>IF(urbanthreads_q4[[#This Row],[Qty]]&gt;0,"Valid","Invalid")</f>
        <v>Valid</v>
      </c>
      <c r="Y278" s="1">
        <f>urbanthreads_q4[[#This Row],[Total]]*urbanthreads_q4[[#This Row],[Disc %]]/100</f>
        <v>379.8</v>
      </c>
      <c r="Z278" s="1">
        <f>urbanthreads_q4[[#This Row],[Total]]-urbanthreads_q4[[#This Row],[Disc %]]</f>
        <v>1879</v>
      </c>
      <c r="AA278" s="1">
        <f>urbanthreads_q4[[#This Row],[Net revenue]]/urbanthreads_q4[[#This Row],[Total]]</f>
        <v>0.98946814112690895</v>
      </c>
      <c r="AB278" s="1" t="str">
        <f>TEXT(urbanthreads_q4[[#This Row],[Order Date]],"mm-yyyy")</f>
        <v>12-2024</v>
      </c>
      <c r="AC278" s="1" t="str">
        <f>YEAR(urbanthreads_q4[[#This Row],[Order Date]]) &amp; "-W" &amp; WEEKNUM(urbanthreads_q4[[#This Row],[Order Date]], 2)</f>
        <v>2024-W50</v>
      </c>
      <c r="AD278" s="1" t="str">
        <f>IF(urbanthreads_q4[[#This Row],[Payment]]="COD","COD","Prepaid")</f>
        <v>Prepaid</v>
      </c>
    </row>
    <row r="279" spans="1:30" x14ac:dyDescent="0.3">
      <c r="A279" s="1" t="s">
        <v>470</v>
      </c>
      <c r="B279" s="2">
        <v>45588</v>
      </c>
      <c r="C279" s="1" t="s">
        <v>471</v>
      </c>
      <c r="D279" s="1" t="s">
        <v>25</v>
      </c>
      <c r="E279" s="1" t="s">
        <v>472</v>
      </c>
      <c r="F279" s="1" t="s">
        <v>54</v>
      </c>
      <c r="G279" s="1" t="s">
        <v>473</v>
      </c>
      <c r="H279">
        <v>2199</v>
      </c>
      <c r="I279">
        <v>1</v>
      </c>
      <c r="J279">
        <v>2199</v>
      </c>
      <c r="K279" s="1" t="s">
        <v>64</v>
      </c>
      <c r="L279">
        <v>15</v>
      </c>
      <c r="M279" s="1" t="s">
        <v>65</v>
      </c>
      <c r="N279" s="1" t="s">
        <v>45</v>
      </c>
      <c r="O279" s="1" t="s">
        <v>113</v>
      </c>
      <c r="P279" s="1" t="s">
        <v>114</v>
      </c>
      <c r="Q279" s="1" t="s">
        <v>46</v>
      </c>
      <c r="R279" s="2">
        <v>45601</v>
      </c>
      <c r="S279" s="1" t="s">
        <v>34</v>
      </c>
      <c r="T279" s="1" t="s">
        <v>47</v>
      </c>
      <c r="U279" s="1" t="s">
        <v>139</v>
      </c>
      <c r="V279" s="2">
        <v>45631</v>
      </c>
      <c r="W279" s="1" t="s">
        <v>49</v>
      </c>
      <c r="X279" s="1" t="str">
        <f>IF(urbanthreads_q4[[#This Row],[Qty]]&gt;0,"Valid","Invalid")</f>
        <v>Valid</v>
      </c>
      <c r="Y279" s="1">
        <f>urbanthreads_q4[[#This Row],[Total]]*urbanthreads_q4[[#This Row],[Disc %]]/100</f>
        <v>329.85</v>
      </c>
      <c r="Z279" s="1">
        <f>urbanthreads_q4[[#This Row],[Total]]-urbanthreads_q4[[#This Row],[Disc %]]</f>
        <v>2184</v>
      </c>
      <c r="AA279" s="1">
        <f>urbanthreads_q4[[#This Row],[Net revenue]]/urbanthreads_q4[[#This Row],[Total]]</f>
        <v>0.99317871759890863</v>
      </c>
      <c r="AB279" s="1" t="str">
        <f>TEXT(urbanthreads_q4[[#This Row],[Order Date]],"mm-yyyy")</f>
        <v>10-2024</v>
      </c>
      <c r="AC279" s="1" t="str">
        <f>YEAR(urbanthreads_q4[[#This Row],[Order Date]]) &amp; "-W" &amp; WEEKNUM(urbanthreads_q4[[#This Row],[Order Date]], 2)</f>
        <v>2024-W43</v>
      </c>
      <c r="AD279" s="1" t="str">
        <f>IF(urbanthreads_q4[[#This Row],[Payment]]="COD","COD","Prepaid")</f>
        <v>Prepaid</v>
      </c>
    </row>
    <row r="280" spans="1:30" x14ac:dyDescent="0.3">
      <c r="A280" s="1" t="s">
        <v>478</v>
      </c>
      <c r="B280" s="2">
        <v>45589</v>
      </c>
      <c r="C280" s="1" t="s">
        <v>479</v>
      </c>
      <c r="D280" s="1" t="s">
        <v>25</v>
      </c>
      <c r="E280" s="1" t="s">
        <v>480</v>
      </c>
      <c r="F280" s="1" t="s">
        <v>27</v>
      </c>
      <c r="G280" s="1" t="s">
        <v>481</v>
      </c>
      <c r="H280">
        <v>1299</v>
      </c>
      <c r="I280">
        <v>1</v>
      </c>
      <c r="J280">
        <v>1299</v>
      </c>
      <c r="K280" s="1" t="s">
        <v>29</v>
      </c>
      <c r="L280">
        <v>0</v>
      </c>
      <c r="M280" s="1" t="s">
        <v>56</v>
      </c>
      <c r="N280" s="1" t="s">
        <v>66</v>
      </c>
      <c r="O280" s="1" t="s">
        <v>32</v>
      </c>
      <c r="P280" s="1" t="s">
        <v>33</v>
      </c>
      <c r="Q280" s="1" t="s">
        <v>32</v>
      </c>
      <c r="R280" s="2">
        <v>45602</v>
      </c>
      <c r="S280" s="1" t="s">
        <v>34</v>
      </c>
      <c r="T280" s="1" t="s">
        <v>47</v>
      </c>
      <c r="U280" s="1" t="s">
        <v>80</v>
      </c>
      <c r="V280" s="2">
        <v>45631</v>
      </c>
      <c r="W280" s="1" t="s">
        <v>49</v>
      </c>
      <c r="X280" s="1" t="str">
        <f>IF(urbanthreads_q4[[#This Row],[Qty]]&gt;0,"Valid","Invalid")</f>
        <v>Valid</v>
      </c>
      <c r="Y280" s="1">
        <f>urbanthreads_q4[[#This Row],[Total]]*urbanthreads_q4[[#This Row],[Disc %]]/100</f>
        <v>0</v>
      </c>
      <c r="Z280" s="1">
        <f>urbanthreads_q4[[#This Row],[Total]]-urbanthreads_q4[[#This Row],[Disc %]]</f>
        <v>1299</v>
      </c>
      <c r="AA280" s="1">
        <f>urbanthreads_q4[[#This Row],[Net revenue]]/urbanthreads_q4[[#This Row],[Total]]</f>
        <v>1</v>
      </c>
      <c r="AB280" s="1" t="str">
        <f>TEXT(urbanthreads_q4[[#This Row],[Order Date]],"mm-yyyy")</f>
        <v>10-2024</v>
      </c>
      <c r="AC280" s="1" t="str">
        <f>YEAR(urbanthreads_q4[[#This Row],[Order Date]]) &amp; "-W" &amp; WEEKNUM(urbanthreads_q4[[#This Row],[Order Date]], 2)</f>
        <v>2024-W43</v>
      </c>
      <c r="AD280" s="1" t="str">
        <f>IF(urbanthreads_q4[[#This Row],[Payment]]="COD","COD","Prepaid")</f>
        <v>COD</v>
      </c>
    </row>
    <row r="281" spans="1:30" x14ac:dyDescent="0.3">
      <c r="A281" s="1" t="s">
        <v>1214</v>
      </c>
      <c r="B281" s="2">
        <v>45640</v>
      </c>
      <c r="C281" s="1" t="s">
        <v>1215</v>
      </c>
      <c r="D281" s="1" t="s">
        <v>25</v>
      </c>
      <c r="E281" s="1" t="s">
        <v>1216</v>
      </c>
      <c r="F281" s="1" t="s">
        <v>27</v>
      </c>
      <c r="G281" s="1" t="s">
        <v>1217</v>
      </c>
      <c r="H281">
        <v>2099</v>
      </c>
      <c r="I281">
        <v>1</v>
      </c>
      <c r="J281">
        <v>2099</v>
      </c>
      <c r="K281" s="1" t="s">
        <v>995</v>
      </c>
      <c r="L281">
        <v>20</v>
      </c>
      <c r="M281" s="1" t="s">
        <v>65</v>
      </c>
      <c r="N281" s="1" t="s">
        <v>31</v>
      </c>
      <c r="O281" s="1" t="s">
        <v>67</v>
      </c>
      <c r="P281" s="1" t="s">
        <v>68</v>
      </c>
      <c r="Q281" s="1" t="s">
        <v>57</v>
      </c>
      <c r="R281" s="2">
        <v>45657</v>
      </c>
      <c r="S281" s="1" t="s">
        <v>34</v>
      </c>
      <c r="T281" s="1" t="s">
        <v>35</v>
      </c>
      <c r="U281" s="1" t="s">
        <v>29</v>
      </c>
      <c r="W281" s="1" t="s">
        <v>36</v>
      </c>
      <c r="X281" s="1" t="str">
        <f>IF(urbanthreads_q4[[#This Row],[Qty]]&gt;0,"Valid","Invalid")</f>
        <v>Valid</v>
      </c>
      <c r="Y281" s="1">
        <f>urbanthreads_q4[[#This Row],[Total]]*urbanthreads_q4[[#This Row],[Disc %]]/100</f>
        <v>419.8</v>
      </c>
      <c r="Z281" s="1">
        <f>urbanthreads_q4[[#This Row],[Total]]-urbanthreads_q4[[#This Row],[Disc %]]</f>
        <v>2079</v>
      </c>
      <c r="AA281" s="1">
        <f>urbanthreads_q4[[#This Row],[Net revenue]]/urbanthreads_q4[[#This Row],[Total]]</f>
        <v>0.99047165316817531</v>
      </c>
      <c r="AB281" s="1" t="str">
        <f>TEXT(urbanthreads_q4[[#This Row],[Order Date]],"mm-yyyy")</f>
        <v>12-2024</v>
      </c>
      <c r="AC281" s="1" t="str">
        <f>YEAR(urbanthreads_q4[[#This Row],[Order Date]]) &amp; "-W" &amp; WEEKNUM(urbanthreads_q4[[#This Row],[Order Date]], 2)</f>
        <v>2024-W50</v>
      </c>
      <c r="AD281" s="1" t="str">
        <f>IF(urbanthreads_q4[[#This Row],[Payment]]="COD","COD","Prepaid")</f>
        <v>Prepaid</v>
      </c>
    </row>
    <row r="282" spans="1:30" x14ac:dyDescent="0.3">
      <c r="A282" s="1" t="s">
        <v>490</v>
      </c>
      <c r="B282" s="2">
        <v>45590</v>
      </c>
      <c r="C282" s="1" t="s">
        <v>491</v>
      </c>
      <c r="D282" s="1" t="s">
        <v>25</v>
      </c>
      <c r="E282" s="1" t="s">
        <v>492</v>
      </c>
      <c r="F282" s="1" t="s">
        <v>54</v>
      </c>
      <c r="G282" s="1" t="s">
        <v>493</v>
      </c>
      <c r="H282">
        <v>1699</v>
      </c>
      <c r="I282">
        <v>1</v>
      </c>
      <c r="J282">
        <v>1699</v>
      </c>
      <c r="K282" s="1" t="s">
        <v>29</v>
      </c>
      <c r="L282">
        <v>0</v>
      </c>
      <c r="M282" s="1" t="s">
        <v>65</v>
      </c>
      <c r="N282" s="1" t="s">
        <v>66</v>
      </c>
      <c r="O282" s="1" t="s">
        <v>138</v>
      </c>
      <c r="P282" s="1" t="s">
        <v>114</v>
      </c>
      <c r="Q282" s="1" t="s">
        <v>46</v>
      </c>
      <c r="R282" s="2">
        <v>45603</v>
      </c>
      <c r="S282" s="1" t="s">
        <v>34</v>
      </c>
      <c r="T282" s="1" t="s">
        <v>47</v>
      </c>
      <c r="U282" s="1" t="s">
        <v>48</v>
      </c>
      <c r="V282" s="2">
        <v>45632</v>
      </c>
      <c r="W282" s="1" t="s">
        <v>49</v>
      </c>
      <c r="X282" s="1" t="str">
        <f>IF(urbanthreads_q4[[#This Row],[Qty]]&gt;0,"Valid","Invalid")</f>
        <v>Valid</v>
      </c>
      <c r="Y282" s="1">
        <f>urbanthreads_q4[[#This Row],[Total]]*urbanthreads_q4[[#This Row],[Disc %]]/100</f>
        <v>0</v>
      </c>
      <c r="Z282" s="1">
        <f>urbanthreads_q4[[#This Row],[Total]]-urbanthreads_q4[[#This Row],[Disc %]]</f>
        <v>1699</v>
      </c>
      <c r="AA282" s="1">
        <f>urbanthreads_q4[[#This Row],[Net revenue]]/urbanthreads_q4[[#This Row],[Total]]</f>
        <v>1</v>
      </c>
      <c r="AB282" s="1" t="str">
        <f>TEXT(urbanthreads_q4[[#This Row],[Order Date]],"mm-yyyy")</f>
        <v>10-2024</v>
      </c>
      <c r="AC282" s="1" t="str">
        <f>YEAR(urbanthreads_q4[[#This Row],[Order Date]]) &amp; "-W" &amp; WEEKNUM(urbanthreads_q4[[#This Row],[Order Date]], 2)</f>
        <v>2024-W43</v>
      </c>
      <c r="AD282" s="1" t="str">
        <f>IF(urbanthreads_q4[[#This Row],[Payment]]="COD","COD","Prepaid")</f>
        <v>Prepaid</v>
      </c>
    </row>
    <row r="283" spans="1:30" x14ac:dyDescent="0.3">
      <c r="A283" s="1" t="s">
        <v>1221</v>
      </c>
      <c r="B283" s="2">
        <v>45641</v>
      </c>
      <c r="C283" s="1" t="s">
        <v>1222</v>
      </c>
      <c r="D283" s="1" t="s">
        <v>25</v>
      </c>
      <c r="E283" s="1" t="s">
        <v>1223</v>
      </c>
      <c r="F283" s="1" t="s">
        <v>54</v>
      </c>
      <c r="G283" s="1" t="s">
        <v>1224</v>
      </c>
      <c r="H283">
        <v>2299</v>
      </c>
      <c r="I283">
        <v>1</v>
      </c>
      <c r="J283">
        <v>2299</v>
      </c>
      <c r="K283" s="1" t="s">
        <v>29</v>
      </c>
      <c r="L283">
        <v>0</v>
      </c>
      <c r="M283" s="1" t="s">
        <v>30</v>
      </c>
      <c r="N283" s="1" t="s">
        <v>66</v>
      </c>
      <c r="O283" s="1" t="s">
        <v>85</v>
      </c>
      <c r="P283" s="1" t="s">
        <v>33</v>
      </c>
      <c r="Q283" s="1" t="s">
        <v>32</v>
      </c>
      <c r="R283" s="2">
        <v>45659</v>
      </c>
      <c r="S283" s="1" t="s">
        <v>34</v>
      </c>
      <c r="T283" s="1" t="s">
        <v>35</v>
      </c>
      <c r="U283" s="1" t="s">
        <v>29</v>
      </c>
      <c r="W283" s="1" t="s">
        <v>36</v>
      </c>
      <c r="X283" s="1" t="str">
        <f>IF(urbanthreads_q4[[#This Row],[Qty]]&gt;0,"Valid","Invalid")</f>
        <v>Valid</v>
      </c>
      <c r="Y283" s="1">
        <f>urbanthreads_q4[[#This Row],[Total]]*urbanthreads_q4[[#This Row],[Disc %]]/100</f>
        <v>0</v>
      </c>
      <c r="Z283" s="1">
        <f>urbanthreads_q4[[#This Row],[Total]]-urbanthreads_q4[[#This Row],[Disc %]]</f>
        <v>2299</v>
      </c>
      <c r="AA283" s="1">
        <f>urbanthreads_q4[[#This Row],[Net revenue]]/urbanthreads_q4[[#This Row],[Total]]</f>
        <v>1</v>
      </c>
      <c r="AB283" s="1" t="str">
        <f>TEXT(urbanthreads_q4[[#This Row],[Order Date]],"mm-yyyy")</f>
        <v>12-2024</v>
      </c>
      <c r="AC283" s="1" t="str">
        <f>YEAR(urbanthreads_q4[[#This Row],[Order Date]]) &amp; "-W" &amp; WEEKNUM(urbanthreads_q4[[#This Row],[Order Date]], 2)</f>
        <v>2024-W50</v>
      </c>
      <c r="AD283" s="1" t="str">
        <f>IF(urbanthreads_q4[[#This Row],[Payment]]="COD","COD","Prepaid")</f>
        <v>Prepaid</v>
      </c>
    </row>
    <row r="284" spans="1:30" x14ac:dyDescent="0.3">
      <c r="A284" s="1" t="s">
        <v>497</v>
      </c>
      <c r="B284" s="2">
        <v>45590</v>
      </c>
      <c r="C284" s="1" t="s">
        <v>498</v>
      </c>
      <c r="D284" s="1" t="s">
        <v>39</v>
      </c>
      <c r="E284" s="1" t="s">
        <v>499</v>
      </c>
      <c r="F284" s="1" t="s">
        <v>27</v>
      </c>
      <c r="G284" s="1" t="s">
        <v>500</v>
      </c>
      <c r="H284">
        <v>1199</v>
      </c>
      <c r="I284">
        <v>2</v>
      </c>
      <c r="J284">
        <v>2398</v>
      </c>
      <c r="K284" s="1" t="s">
        <v>29</v>
      </c>
      <c r="L284">
        <v>0</v>
      </c>
      <c r="M284" s="1" t="s">
        <v>30</v>
      </c>
      <c r="N284" s="1" t="s">
        <v>31</v>
      </c>
      <c r="O284" s="1" t="s">
        <v>150</v>
      </c>
      <c r="P284" s="1" t="s">
        <v>151</v>
      </c>
      <c r="Q284" s="1" t="s">
        <v>32</v>
      </c>
      <c r="R284" s="2">
        <v>45601</v>
      </c>
      <c r="S284" s="1" t="s">
        <v>34</v>
      </c>
      <c r="T284" s="1" t="s">
        <v>47</v>
      </c>
      <c r="U284" s="1" t="s">
        <v>69</v>
      </c>
      <c r="V284" s="2">
        <v>45630</v>
      </c>
      <c r="W284" s="1" t="s">
        <v>49</v>
      </c>
      <c r="X284" s="1" t="str">
        <f>IF(urbanthreads_q4[[#This Row],[Qty]]&gt;0,"Valid","Invalid")</f>
        <v>Valid</v>
      </c>
      <c r="Y284" s="1">
        <f>urbanthreads_q4[[#This Row],[Total]]*urbanthreads_q4[[#This Row],[Disc %]]/100</f>
        <v>0</v>
      </c>
      <c r="Z284" s="1">
        <f>urbanthreads_q4[[#This Row],[Total]]-urbanthreads_q4[[#This Row],[Disc %]]</f>
        <v>2398</v>
      </c>
      <c r="AA284" s="1">
        <f>urbanthreads_q4[[#This Row],[Net revenue]]/urbanthreads_q4[[#This Row],[Total]]</f>
        <v>1</v>
      </c>
      <c r="AB284" s="1" t="str">
        <f>TEXT(urbanthreads_q4[[#This Row],[Order Date]],"mm-yyyy")</f>
        <v>10-2024</v>
      </c>
      <c r="AC284" s="1" t="str">
        <f>YEAR(urbanthreads_q4[[#This Row],[Order Date]]) &amp; "-W" &amp; WEEKNUM(urbanthreads_q4[[#This Row],[Order Date]], 2)</f>
        <v>2024-W43</v>
      </c>
      <c r="AD284" s="1" t="str">
        <f>IF(urbanthreads_q4[[#This Row],[Payment]]="COD","COD","Prepaid")</f>
        <v>Prepaid</v>
      </c>
    </row>
    <row r="285" spans="1:30" x14ac:dyDescent="0.3">
      <c r="A285" s="1" t="s">
        <v>1229</v>
      </c>
      <c r="B285" s="2">
        <v>45641</v>
      </c>
      <c r="C285" s="1" t="s">
        <v>1230</v>
      </c>
      <c r="D285" s="1" t="s">
        <v>25</v>
      </c>
      <c r="E285" s="1" t="s">
        <v>1231</v>
      </c>
      <c r="F285" s="1" t="s">
        <v>72</v>
      </c>
      <c r="G285" s="1" t="s">
        <v>1232</v>
      </c>
      <c r="H285">
        <v>799</v>
      </c>
      <c r="I285">
        <v>2</v>
      </c>
      <c r="J285">
        <v>1598</v>
      </c>
      <c r="K285" s="1" t="s">
        <v>29</v>
      </c>
      <c r="L285">
        <v>0</v>
      </c>
      <c r="M285" s="1" t="s">
        <v>112</v>
      </c>
      <c r="N285" s="1" t="s">
        <v>45</v>
      </c>
      <c r="O285" s="1" t="s">
        <v>103</v>
      </c>
      <c r="P285" s="1" t="s">
        <v>104</v>
      </c>
      <c r="Q285" s="1" t="s">
        <v>46</v>
      </c>
      <c r="R285" s="2">
        <v>45659</v>
      </c>
      <c r="S285" s="1" t="s">
        <v>34</v>
      </c>
      <c r="T285" s="1" t="s">
        <v>35</v>
      </c>
      <c r="U285" s="1" t="s">
        <v>29</v>
      </c>
      <c r="W285" s="1" t="s">
        <v>36</v>
      </c>
      <c r="X285" s="1" t="str">
        <f>IF(urbanthreads_q4[[#This Row],[Qty]]&gt;0,"Valid","Invalid")</f>
        <v>Valid</v>
      </c>
      <c r="Y285" s="1">
        <f>urbanthreads_q4[[#This Row],[Total]]*urbanthreads_q4[[#This Row],[Disc %]]/100</f>
        <v>0</v>
      </c>
      <c r="Z285" s="1">
        <f>urbanthreads_q4[[#This Row],[Total]]-urbanthreads_q4[[#This Row],[Disc %]]</f>
        <v>1598</v>
      </c>
      <c r="AA285" s="1">
        <f>urbanthreads_q4[[#This Row],[Net revenue]]/urbanthreads_q4[[#This Row],[Total]]</f>
        <v>1</v>
      </c>
      <c r="AB285" s="1" t="str">
        <f>TEXT(urbanthreads_q4[[#This Row],[Order Date]],"mm-yyyy")</f>
        <v>12-2024</v>
      </c>
      <c r="AC285" s="1" t="str">
        <f>YEAR(urbanthreads_q4[[#This Row],[Order Date]]) &amp; "-W" &amp; WEEKNUM(urbanthreads_q4[[#This Row],[Order Date]], 2)</f>
        <v>2024-W50</v>
      </c>
      <c r="AD285" s="1" t="str">
        <f>IF(urbanthreads_q4[[#This Row],[Payment]]="COD","COD","Prepaid")</f>
        <v>Prepaid</v>
      </c>
    </row>
    <row r="286" spans="1:30" x14ac:dyDescent="0.3">
      <c r="A286" s="1" t="s">
        <v>509</v>
      </c>
      <c r="B286" s="2">
        <v>45591</v>
      </c>
      <c r="C286" s="1" t="s">
        <v>510</v>
      </c>
      <c r="D286" s="1" t="s">
        <v>25</v>
      </c>
      <c r="E286" s="1" t="s">
        <v>511</v>
      </c>
      <c r="F286" s="1" t="s">
        <v>54</v>
      </c>
      <c r="G286" s="1" t="s">
        <v>512</v>
      </c>
      <c r="H286">
        <v>1999</v>
      </c>
      <c r="I286">
        <v>1</v>
      </c>
      <c r="J286">
        <v>1999</v>
      </c>
      <c r="K286" s="1" t="s">
        <v>29</v>
      </c>
      <c r="L286">
        <v>0</v>
      </c>
      <c r="M286" s="1" t="s">
        <v>112</v>
      </c>
      <c r="N286" s="1" t="s">
        <v>31</v>
      </c>
      <c r="O286" s="1" t="s">
        <v>167</v>
      </c>
      <c r="P286" s="1" t="s">
        <v>151</v>
      </c>
      <c r="Q286" s="1" t="s">
        <v>32</v>
      </c>
      <c r="R286" s="2">
        <v>45603</v>
      </c>
      <c r="S286" s="1" t="s">
        <v>34</v>
      </c>
      <c r="T286" s="1" t="s">
        <v>47</v>
      </c>
      <c r="U286" s="1" t="s">
        <v>105</v>
      </c>
      <c r="V286" s="2">
        <v>45633</v>
      </c>
      <c r="W286" s="1" t="s">
        <v>49</v>
      </c>
      <c r="X286" s="1" t="str">
        <f>IF(urbanthreads_q4[[#This Row],[Qty]]&gt;0,"Valid","Invalid")</f>
        <v>Valid</v>
      </c>
      <c r="Y286" s="1">
        <f>urbanthreads_q4[[#This Row],[Total]]*urbanthreads_q4[[#This Row],[Disc %]]/100</f>
        <v>0</v>
      </c>
      <c r="Z286" s="1">
        <f>urbanthreads_q4[[#This Row],[Total]]-urbanthreads_q4[[#This Row],[Disc %]]</f>
        <v>1999</v>
      </c>
      <c r="AA286" s="1">
        <f>urbanthreads_q4[[#This Row],[Net revenue]]/urbanthreads_q4[[#This Row],[Total]]</f>
        <v>1</v>
      </c>
      <c r="AB286" s="1" t="str">
        <f>TEXT(urbanthreads_q4[[#This Row],[Order Date]],"mm-yyyy")</f>
        <v>10-2024</v>
      </c>
      <c r="AC286" s="1" t="str">
        <f>YEAR(urbanthreads_q4[[#This Row],[Order Date]]) &amp; "-W" &amp; WEEKNUM(urbanthreads_q4[[#This Row],[Order Date]], 2)</f>
        <v>2024-W43</v>
      </c>
      <c r="AD286" s="1" t="str">
        <f>IF(urbanthreads_q4[[#This Row],[Payment]]="COD","COD","Prepaid")</f>
        <v>Prepaid</v>
      </c>
    </row>
    <row r="287" spans="1:30" x14ac:dyDescent="0.3">
      <c r="A287" s="1" t="s">
        <v>517</v>
      </c>
      <c r="B287" s="2">
        <v>45591</v>
      </c>
      <c r="C287" s="1" t="s">
        <v>518</v>
      </c>
      <c r="D287" s="1" t="s">
        <v>25</v>
      </c>
      <c r="E287" s="1" t="s">
        <v>519</v>
      </c>
      <c r="F287" s="1" t="s">
        <v>27</v>
      </c>
      <c r="G287" s="1" t="s">
        <v>520</v>
      </c>
      <c r="H287">
        <v>1599</v>
      </c>
      <c r="I287">
        <v>1</v>
      </c>
      <c r="J287">
        <v>1599</v>
      </c>
      <c r="K287" s="1" t="s">
        <v>64</v>
      </c>
      <c r="L287">
        <v>15</v>
      </c>
      <c r="M287" s="1" t="s">
        <v>30</v>
      </c>
      <c r="N287" s="1" t="s">
        <v>45</v>
      </c>
      <c r="O287" s="1" t="s">
        <v>177</v>
      </c>
      <c r="P287" s="1" t="s">
        <v>68</v>
      </c>
      <c r="Q287" s="1" t="s">
        <v>57</v>
      </c>
      <c r="R287" s="2">
        <v>45602</v>
      </c>
      <c r="S287" s="1" t="s">
        <v>34</v>
      </c>
      <c r="T287" s="1" t="s">
        <v>47</v>
      </c>
      <c r="U287" s="1" t="s">
        <v>48</v>
      </c>
      <c r="V287" s="2">
        <v>45631</v>
      </c>
      <c r="W287" s="1" t="s">
        <v>49</v>
      </c>
      <c r="X287" s="1" t="str">
        <f>IF(urbanthreads_q4[[#This Row],[Qty]]&gt;0,"Valid","Invalid")</f>
        <v>Valid</v>
      </c>
      <c r="Y287" s="1">
        <f>urbanthreads_q4[[#This Row],[Total]]*urbanthreads_q4[[#This Row],[Disc %]]/100</f>
        <v>239.85</v>
      </c>
      <c r="Z287" s="1">
        <f>urbanthreads_q4[[#This Row],[Total]]-urbanthreads_q4[[#This Row],[Disc %]]</f>
        <v>1584</v>
      </c>
      <c r="AA287" s="1">
        <f>urbanthreads_q4[[#This Row],[Net revenue]]/urbanthreads_q4[[#This Row],[Total]]</f>
        <v>0.99061913696060033</v>
      </c>
      <c r="AB287" s="1" t="str">
        <f>TEXT(urbanthreads_q4[[#This Row],[Order Date]],"mm-yyyy")</f>
        <v>10-2024</v>
      </c>
      <c r="AC287" s="1" t="str">
        <f>YEAR(urbanthreads_q4[[#This Row],[Order Date]]) &amp; "-W" &amp; WEEKNUM(urbanthreads_q4[[#This Row],[Order Date]], 2)</f>
        <v>2024-W43</v>
      </c>
      <c r="AD287" s="1" t="str">
        <f>IF(urbanthreads_q4[[#This Row],[Payment]]="COD","COD","Prepaid")</f>
        <v>Prepaid</v>
      </c>
    </row>
    <row r="288" spans="1:30" x14ac:dyDescent="0.3">
      <c r="A288" s="1" t="s">
        <v>1241</v>
      </c>
      <c r="B288" s="2">
        <v>45642</v>
      </c>
      <c r="C288" s="1" t="s">
        <v>1242</v>
      </c>
      <c r="D288" s="1" t="s">
        <v>25</v>
      </c>
      <c r="E288" s="1" t="s">
        <v>1243</v>
      </c>
      <c r="F288" s="1" t="s">
        <v>54</v>
      </c>
      <c r="G288" s="1" t="s">
        <v>1244</v>
      </c>
      <c r="H288">
        <v>2599</v>
      </c>
      <c r="I288">
        <v>1</v>
      </c>
      <c r="J288">
        <v>2599</v>
      </c>
      <c r="K288" s="1" t="s">
        <v>29</v>
      </c>
      <c r="L288">
        <v>0</v>
      </c>
      <c r="M288" s="1" t="s">
        <v>30</v>
      </c>
      <c r="N288" s="1" t="s">
        <v>45</v>
      </c>
      <c r="O288" s="1" t="s">
        <v>32</v>
      </c>
      <c r="P288" s="1" t="s">
        <v>33</v>
      </c>
      <c r="Q288" s="1" t="s">
        <v>32</v>
      </c>
      <c r="R288" s="2">
        <v>45661</v>
      </c>
      <c r="S288" s="1" t="s">
        <v>34</v>
      </c>
      <c r="T288" s="1" t="s">
        <v>35</v>
      </c>
      <c r="U288" s="1" t="s">
        <v>29</v>
      </c>
      <c r="W288" s="1" t="s">
        <v>36</v>
      </c>
      <c r="X288" s="1" t="str">
        <f>IF(urbanthreads_q4[[#This Row],[Qty]]&gt;0,"Valid","Invalid")</f>
        <v>Valid</v>
      </c>
      <c r="Y288" s="1">
        <f>urbanthreads_q4[[#This Row],[Total]]*urbanthreads_q4[[#This Row],[Disc %]]/100</f>
        <v>0</v>
      </c>
      <c r="Z288" s="1">
        <f>urbanthreads_q4[[#This Row],[Total]]-urbanthreads_q4[[#This Row],[Disc %]]</f>
        <v>2599</v>
      </c>
      <c r="AA288" s="1">
        <f>urbanthreads_q4[[#This Row],[Net revenue]]/urbanthreads_q4[[#This Row],[Total]]</f>
        <v>1</v>
      </c>
      <c r="AB288" s="1" t="str">
        <f>TEXT(urbanthreads_q4[[#This Row],[Order Date]],"mm-yyyy")</f>
        <v>12-2024</v>
      </c>
      <c r="AC288" s="1" t="str">
        <f>YEAR(urbanthreads_q4[[#This Row],[Order Date]]) &amp; "-W" &amp; WEEKNUM(urbanthreads_q4[[#This Row],[Order Date]], 2)</f>
        <v>2024-W51</v>
      </c>
      <c r="AD288" s="1" t="str">
        <f>IF(urbanthreads_q4[[#This Row],[Payment]]="COD","COD","Prepaid")</f>
        <v>Prepaid</v>
      </c>
    </row>
    <row r="289" spans="1:30" x14ac:dyDescent="0.3">
      <c r="A289" s="1" t="s">
        <v>525</v>
      </c>
      <c r="B289" s="2">
        <v>45592</v>
      </c>
      <c r="C289" s="1" t="s">
        <v>526</v>
      </c>
      <c r="D289" s="1" t="s">
        <v>25</v>
      </c>
      <c r="E289" s="1" t="s">
        <v>527</v>
      </c>
      <c r="F289" s="1" t="s">
        <v>72</v>
      </c>
      <c r="G289" s="1" t="s">
        <v>528</v>
      </c>
      <c r="H289">
        <v>599</v>
      </c>
      <c r="I289">
        <v>2</v>
      </c>
      <c r="J289">
        <v>1198</v>
      </c>
      <c r="K289" s="1" t="s">
        <v>29</v>
      </c>
      <c r="L289">
        <v>0</v>
      </c>
      <c r="M289" s="1" t="s">
        <v>56</v>
      </c>
      <c r="N289" s="1" t="s">
        <v>66</v>
      </c>
      <c r="O289" s="1" t="s">
        <v>188</v>
      </c>
      <c r="P289" s="1" t="s">
        <v>189</v>
      </c>
      <c r="Q289" s="1" t="s">
        <v>57</v>
      </c>
      <c r="R289" s="2">
        <v>45603</v>
      </c>
      <c r="S289" s="1" t="s">
        <v>34</v>
      </c>
      <c r="T289" s="1" t="s">
        <v>47</v>
      </c>
      <c r="U289" s="1" t="s">
        <v>139</v>
      </c>
      <c r="V289" s="2">
        <v>45632</v>
      </c>
      <c r="W289" s="1" t="s">
        <v>49</v>
      </c>
      <c r="X289" s="1" t="str">
        <f>IF(urbanthreads_q4[[#This Row],[Qty]]&gt;0,"Valid","Invalid")</f>
        <v>Valid</v>
      </c>
      <c r="Y289" s="1">
        <f>urbanthreads_q4[[#This Row],[Total]]*urbanthreads_q4[[#This Row],[Disc %]]/100</f>
        <v>0</v>
      </c>
      <c r="Z289" s="1">
        <f>urbanthreads_q4[[#This Row],[Total]]-urbanthreads_q4[[#This Row],[Disc %]]</f>
        <v>1198</v>
      </c>
      <c r="AA289" s="1">
        <f>urbanthreads_q4[[#This Row],[Net revenue]]/urbanthreads_q4[[#This Row],[Total]]</f>
        <v>1</v>
      </c>
      <c r="AB289" s="1" t="str">
        <f>TEXT(urbanthreads_q4[[#This Row],[Order Date]],"mm-yyyy")</f>
        <v>10-2024</v>
      </c>
      <c r="AC289" s="1" t="str">
        <f>YEAR(urbanthreads_q4[[#This Row],[Order Date]]) &amp; "-W" &amp; WEEKNUM(urbanthreads_q4[[#This Row],[Order Date]], 2)</f>
        <v>2024-W43</v>
      </c>
      <c r="AD289" s="1" t="str">
        <f>IF(urbanthreads_q4[[#This Row],[Payment]]="COD","COD","Prepaid")</f>
        <v>COD</v>
      </c>
    </row>
    <row r="290" spans="1:30" x14ac:dyDescent="0.3">
      <c r="A290" s="1" t="s">
        <v>1249</v>
      </c>
      <c r="B290" s="2">
        <v>45642</v>
      </c>
      <c r="C290" s="1" t="s">
        <v>1250</v>
      </c>
      <c r="D290" s="1" t="s">
        <v>39</v>
      </c>
      <c r="E290" s="1" t="s">
        <v>1251</v>
      </c>
      <c r="F290" s="1" t="s">
        <v>72</v>
      </c>
      <c r="G290" s="1" t="s">
        <v>1252</v>
      </c>
      <c r="H290">
        <v>1399</v>
      </c>
      <c r="I290">
        <v>1</v>
      </c>
      <c r="J290">
        <v>1399</v>
      </c>
      <c r="K290" s="1" t="s">
        <v>995</v>
      </c>
      <c r="L290">
        <v>20</v>
      </c>
      <c r="M290" s="1" t="s">
        <v>112</v>
      </c>
      <c r="N290" s="1" t="s">
        <v>31</v>
      </c>
      <c r="O290" s="1" t="s">
        <v>119</v>
      </c>
      <c r="P290" s="1" t="s">
        <v>120</v>
      </c>
      <c r="Q290" s="1" t="s">
        <v>46</v>
      </c>
      <c r="R290" s="2">
        <v>45661</v>
      </c>
      <c r="S290" s="1" t="s">
        <v>34</v>
      </c>
      <c r="T290" s="1" t="s">
        <v>35</v>
      </c>
      <c r="U290" s="1" t="s">
        <v>29</v>
      </c>
      <c r="W290" s="1" t="s">
        <v>36</v>
      </c>
      <c r="X290" s="1" t="str">
        <f>IF(urbanthreads_q4[[#This Row],[Qty]]&gt;0,"Valid","Invalid")</f>
        <v>Valid</v>
      </c>
      <c r="Y290" s="1">
        <f>urbanthreads_q4[[#This Row],[Total]]*urbanthreads_q4[[#This Row],[Disc %]]/100</f>
        <v>279.8</v>
      </c>
      <c r="Z290" s="1">
        <f>urbanthreads_q4[[#This Row],[Total]]-urbanthreads_q4[[#This Row],[Disc %]]</f>
        <v>1379</v>
      </c>
      <c r="AA290" s="1">
        <f>urbanthreads_q4[[#This Row],[Net revenue]]/urbanthreads_q4[[#This Row],[Total]]</f>
        <v>0.98570407433881346</v>
      </c>
      <c r="AB290" s="1" t="str">
        <f>TEXT(urbanthreads_q4[[#This Row],[Order Date]],"mm-yyyy")</f>
        <v>12-2024</v>
      </c>
      <c r="AC290" s="1" t="str">
        <f>YEAR(urbanthreads_q4[[#This Row],[Order Date]]) &amp; "-W" &amp; WEEKNUM(urbanthreads_q4[[#This Row],[Order Date]], 2)</f>
        <v>2024-W51</v>
      </c>
      <c r="AD290" s="1" t="str">
        <f>IF(urbanthreads_q4[[#This Row],[Payment]]="COD","COD","Prepaid")</f>
        <v>Prepaid</v>
      </c>
    </row>
    <row r="291" spans="1:30" x14ac:dyDescent="0.3">
      <c r="A291" s="1" t="s">
        <v>315</v>
      </c>
      <c r="B291" s="2">
        <v>45579</v>
      </c>
      <c r="C291" s="1" t="s">
        <v>316</v>
      </c>
      <c r="D291" s="1" t="s">
        <v>25</v>
      </c>
      <c r="E291" s="1" t="s">
        <v>317</v>
      </c>
      <c r="F291" s="1" t="s">
        <v>41</v>
      </c>
      <c r="G291" s="1" t="s">
        <v>318</v>
      </c>
      <c r="H291">
        <v>2799</v>
      </c>
      <c r="I291">
        <v>1</v>
      </c>
      <c r="J291">
        <v>2799</v>
      </c>
      <c r="K291" s="1" t="s">
        <v>29</v>
      </c>
      <c r="L291">
        <v>0</v>
      </c>
      <c r="M291" s="1" t="s">
        <v>65</v>
      </c>
      <c r="N291" s="1" t="s">
        <v>45</v>
      </c>
      <c r="O291" s="1" t="s">
        <v>204</v>
      </c>
      <c r="P291" s="1" t="s">
        <v>98</v>
      </c>
      <c r="Q291" s="1" t="s">
        <v>32</v>
      </c>
      <c r="R291" s="2">
        <v>45588</v>
      </c>
      <c r="S291" s="1" t="s">
        <v>34</v>
      </c>
      <c r="T291" s="1" t="s">
        <v>47</v>
      </c>
      <c r="U291" s="1" t="s">
        <v>80</v>
      </c>
      <c r="V291" s="2">
        <v>45612</v>
      </c>
      <c r="W291" s="1" t="s">
        <v>49</v>
      </c>
      <c r="X291" s="1" t="str">
        <f>IF(urbanthreads_q4[[#This Row],[Qty]]&gt;0,"Valid","Invalid")</f>
        <v>Valid</v>
      </c>
      <c r="Y291" s="1">
        <f>urbanthreads_q4[[#This Row],[Total]]*urbanthreads_q4[[#This Row],[Disc %]]/100</f>
        <v>0</v>
      </c>
      <c r="Z291" s="1">
        <f>urbanthreads_q4[[#This Row],[Total]]-urbanthreads_q4[[#This Row],[Disc %]]</f>
        <v>2799</v>
      </c>
      <c r="AA291" s="1">
        <f>urbanthreads_q4[[#This Row],[Net revenue]]/urbanthreads_q4[[#This Row],[Total]]</f>
        <v>1</v>
      </c>
      <c r="AB291" s="1" t="str">
        <f>TEXT(urbanthreads_q4[[#This Row],[Order Date]],"mm-yyyy")</f>
        <v>10-2024</v>
      </c>
      <c r="AC291" s="1" t="str">
        <f>YEAR(urbanthreads_q4[[#This Row],[Order Date]]) &amp; "-W" &amp; WEEKNUM(urbanthreads_q4[[#This Row],[Order Date]], 2)</f>
        <v>2024-W42</v>
      </c>
      <c r="AD291" s="1" t="str">
        <f>IF(urbanthreads_q4[[#This Row],[Payment]]="COD","COD","Prepaid")</f>
        <v>Prepaid</v>
      </c>
    </row>
    <row r="292" spans="1:30" x14ac:dyDescent="0.3">
      <c r="A292" s="1" t="s">
        <v>323</v>
      </c>
      <c r="B292" s="2">
        <v>45579</v>
      </c>
      <c r="C292" s="1" t="s">
        <v>324</v>
      </c>
      <c r="D292" s="1" t="s">
        <v>39</v>
      </c>
      <c r="E292" s="1" t="s">
        <v>325</v>
      </c>
      <c r="F292" s="1" t="s">
        <v>62</v>
      </c>
      <c r="G292" s="1" t="s">
        <v>326</v>
      </c>
      <c r="H292">
        <v>4499</v>
      </c>
      <c r="I292">
        <v>1</v>
      </c>
      <c r="J292">
        <v>4499</v>
      </c>
      <c r="K292" s="1" t="s">
        <v>64</v>
      </c>
      <c r="L292">
        <v>15</v>
      </c>
      <c r="M292" s="1" t="s">
        <v>30</v>
      </c>
      <c r="N292" s="1" t="s">
        <v>66</v>
      </c>
      <c r="O292" s="1" t="s">
        <v>214</v>
      </c>
      <c r="P292" s="1" t="s">
        <v>114</v>
      </c>
      <c r="Q292" s="1" t="s">
        <v>46</v>
      </c>
      <c r="R292" s="2">
        <v>45590</v>
      </c>
      <c r="S292" s="1" t="s">
        <v>34</v>
      </c>
      <c r="T292" s="1" t="s">
        <v>47</v>
      </c>
      <c r="U292" s="1" t="s">
        <v>105</v>
      </c>
      <c r="V292" s="2">
        <v>45616</v>
      </c>
      <c r="W292" s="1" t="s">
        <v>49</v>
      </c>
      <c r="X292" s="1" t="str">
        <f>IF(urbanthreads_q4[[#This Row],[Qty]]&gt;0,"Valid","Invalid")</f>
        <v>Valid</v>
      </c>
      <c r="Y292" s="1">
        <f>urbanthreads_q4[[#This Row],[Total]]*urbanthreads_q4[[#This Row],[Disc %]]/100</f>
        <v>674.85</v>
      </c>
      <c r="Z292" s="1">
        <f>urbanthreads_q4[[#This Row],[Total]]-urbanthreads_q4[[#This Row],[Disc %]]</f>
        <v>4484</v>
      </c>
      <c r="AA292" s="1">
        <f>urbanthreads_q4[[#This Row],[Net revenue]]/urbanthreads_q4[[#This Row],[Total]]</f>
        <v>0.99666592576128032</v>
      </c>
      <c r="AB292" s="1" t="str">
        <f>TEXT(urbanthreads_q4[[#This Row],[Order Date]],"mm-yyyy")</f>
        <v>10-2024</v>
      </c>
      <c r="AC292" s="1" t="str">
        <f>YEAR(urbanthreads_q4[[#This Row],[Order Date]]) &amp; "-W" &amp; WEEKNUM(urbanthreads_q4[[#This Row],[Order Date]], 2)</f>
        <v>2024-W42</v>
      </c>
      <c r="AD292" s="1" t="str">
        <f>IF(urbanthreads_q4[[#This Row],[Payment]]="COD","COD","Prepaid")</f>
        <v>Prepaid</v>
      </c>
    </row>
    <row r="293" spans="1:30" x14ac:dyDescent="0.3">
      <c r="A293" s="1" t="s">
        <v>1261</v>
      </c>
      <c r="B293" s="2">
        <v>45643</v>
      </c>
      <c r="C293" s="1" t="s">
        <v>1262</v>
      </c>
      <c r="D293" s="1" t="s">
        <v>25</v>
      </c>
      <c r="E293" s="1" t="s">
        <v>1263</v>
      </c>
      <c r="F293" s="1" t="s">
        <v>54</v>
      </c>
      <c r="G293" s="1" t="s">
        <v>1264</v>
      </c>
      <c r="H293">
        <v>2799</v>
      </c>
      <c r="I293">
        <v>1</v>
      </c>
      <c r="J293">
        <v>2799</v>
      </c>
      <c r="K293" s="1" t="s">
        <v>995</v>
      </c>
      <c r="L293">
        <v>20</v>
      </c>
      <c r="M293" s="1" t="s">
        <v>30</v>
      </c>
      <c r="N293" s="1" t="s">
        <v>31</v>
      </c>
      <c r="O293" s="1" t="s">
        <v>150</v>
      </c>
      <c r="P293" s="1" t="s">
        <v>151</v>
      </c>
      <c r="Q293" s="1" t="s">
        <v>32</v>
      </c>
      <c r="R293" s="2">
        <v>45663</v>
      </c>
      <c r="S293" s="1" t="s">
        <v>34</v>
      </c>
      <c r="T293" s="1" t="s">
        <v>35</v>
      </c>
      <c r="U293" s="1" t="s">
        <v>29</v>
      </c>
      <c r="W293" s="1" t="s">
        <v>36</v>
      </c>
      <c r="X293" s="1" t="str">
        <f>IF(urbanthreads_q4[[#This Row],[Qty]]&gt;0,"Valid","Invalid")</f>
        <v>Valid</v>
      </c>
      <c r="Y293" s="1">
        <f>urbanthreads_q4[[#This Row],[Total]]*urbanthreads_q4[[#This Row],[Disc %]]/100</f>
        <v>559.79999999999995</v>
      </c>
      <c r="Z293" s="1">
        <f>urbanthreads_q4[[#This Row],[Total]]-urbanthreads_q4[[#This Row],[Disc %]]</f>
        <v>2779</v>
      </c>
      <c r="AA293" s="1">
        <f>urbanthreads_q4[[#This Row],[Net revenue]]/urbanthreads_q4[[#This Row],[Total]]</f>
        <v>0.99285459092533046</v>
      </c>
      <c r="AB293" s="1" t="str">
        <f>TEXT(urbanthreads_q4[[#This Row],[Order Date]],"mm-yyyy")</f>
        <v>12-2024</v>
      </c>
      <c r="AC293" s="1" t="str">
        <f>YEAR(urbanthreads_q4[[#This Row],[Order Date]]) &amp; "-W" &amp; WEEKNUM(urbanthreads_q4[[#This Row],[Order Date]], 2)</f>
        <v>2024-W51</v>
      </c>
      <c r="AD293" s="1" t="str">
        <f>IF(urbanthreads_q4[[#This Row],[Payment]]="COD","COD","Prepaid")</f>
        <v>Prepaid</v>
      </c>
    </row>
    <row r="294" spans="1:30" x14ac:dyDescent="0.3">
      <c r="A294" s="1" t="s">
        <v>335</v>
      </c>
      <c r="B294" s="2">
        <v>45580</v>
      </c>
      <c r="C294" s="1" t="s">
        <v>336</v>
      </c>
      <c r="D294" s="1" t="s">
        <v>25</v>
      </c>
      <c r="E294" s="1" t="s">
        <v>337</v>
      </c>
      <c r="F294" s="1" t="s">
        <v>41</v>
      </c>
      <c r="G294" s="1" t="s">
        <v>338</v>
      </c>
      <c r="H294">
        <v>2199</v>
      </c>
      <c r="I294">
        <v>1</v>
      </c>
      <c r="J294">
        <v>2199</v>
      </c>
      <c r="K294" s="1" t="s">
        <v>43</v>
      </c>
      <c r="L294">
        <v>20</v>
      </c>
      <c r="M294" s="1" t="s">
        <v>65</v>
      </c>
      <c r="N294" s="1" t="s">
        <v>66</v>
      </c>
      <c r="O294" s="1" t="s">
        <v>91</v>
      </c>
      <c r="P294" s="1" t="s">
        <v>92</v>
      </c>
      <c r="Q294" s="1" t="s">
        <v>46</v>
      </c>
      <c r="R294" s="2">
        <v>45591</v>
      </c>
      <c r="S294" s="1" t="s">
        <v>34</v>
      </c>
      <c r="T294" s="1" t="s">
        <v>47</v>
      </c>
      <c r="U294" s="1" t="s">
        <v>48</v>
      </c>
      <c r="V294" s="2">
        <v>45618</v>
      </c>
      <c r="W294" s="1" t="s">
        <v>49</v>
      </c>
      <c r="X294" s="1" t="str">
        <f>IF(urbanthreads_q4[[#This Row],[Qty]]&gt;0,"Valid","Invalid")</f>
        <v>Valid</v>
      </c>
      <c r="Y294" s="1">
        <f>urbanthreads_q4[[#This Row],[Total]]*urbanthreads_q4[[#This Row],[Disc %]]/100</f>
        <v>439.8</v>
      </c>
      <c r="Z294" s="1">
        <f>urbanthreads_q4[[#This Row],[Total]]-urbanthreads_q4[[#This Row],[Disc %]]</f>
        <v>2179</v>
      </c>
      <c r="AA294" s="1">
        <f>urbanthreads_q4[[#This Row],[Net revenue]]/urbanthreads_q4[[#This Row],[Total]]</f>
        <v>0.99090495679854484</v>
      </c>
      <c r="AB294" s="1" t="str">
        <f>TEXT(urbanthreads_q4[[#This Row],[Order Date]],"mm-yyyy")</f>
        <v>10-2024</v>
      </c>
      <c r="AC294" s="1" t="str">
        <f>YEAR(urbanthreads_q4[[#This Row],[Order Date]]) &amp; "-W" &amp; WEEKNUM(urbanthreads_q4[[#This Row],[Order Date]], 2)</f>
        <v>2024-W42</v>
      </c>
      <c r="AD294" s="1" t="str">
        <f>IF(urbanthreads_q4[[#This Row],[Payment]]="COD","COD","Prepaid")</f>
        <v>Prepaid</v>
      </c>
    </row>
    <row r="295" spans="1:30" x14ac:dyDescent="0.3">
      <c r="A295" s="1" t="s">
        <v>1269</v>
      </c>
      <c r="B295" s="2">
        <v>45644</v>
      </c>
      <c r="C295" s="1" t="s">
        <v>1270</v>
      </c>
      <c r="D295" s="1" t="s">
        <v>39</v>
      </c>
      <c r="E295" s="1" t="s">
        <v>1271</v>
      </c>
      <c r="F295" s="1" t="s">
        <v>72</v>
      </c>
      <c r="G295" s="1" t="s">
        <v>1272</v>
      </c>
      <c r="H295">
        <v>699</v>
      </c>
      <c r="I295">
        <v>2</v>
      </c>
      <c r="J295">
        <v>1398</v>
      </c>
      <c r="K295" s="1" t="s">
        <v>29</v>
      </c>
      <c r="L295">
        <v>0</v>
      </c>
      <c r="M295" s="1" t="s">
        <v>112</v>
      </c>
      <c r="N295" s="1" t="s">
        <v>66</v>
      </c>
      <c r="O295" s="1" t="s">
        <v>161</v>
      </c>
      <c r="P295" s="1" t="s">
        <v>162</v>
      </c>
      <c r="Q295" s="1" t="s">
        <v>46</v>
      </c>
      <c r="R295" s="2">
        <v>45663</v>
      </c>
      <c r="S295" s="1" t="s">
        <v>34</v>
      </c>
      <c r="T295" s="1" t="s">
        <v>35</v>
      </c>
      <c r="U295" s="1" t="s">
        <v>29</v>
      </c>
      <c r="W295" s="1" t="s">
        <v>36</v>
      </c>
      <c r="X295" s="1" t="str">
        <f>IF(urbanthreads_q4[[#This Row],[Qty]]&gt;0,"Valid","Invalid")</f>
        <v>Valid</v>
      </c>
      <c r="Y295" s="1">
        <f>urbanthreads_q4[[#This Row],[Total]]*urbanthreads_q4[[#This Row],[Disc %]]/100</f>
        <v>0</v>
      </c>
      <c r="Z295" s="1">
        <f>urbanthreads_q4[[#This Row],[Total]]-urbanthreads_q4[[#This Row],[Disc %]]</f>
        <v>1398</v>
      </c>
      <c r="AA295" s="1">
        <f>urbanthreads_q4[[#This Row],[Net revenue]]/urbanthreads_q4[[#This Row],[Total]]</f>
        <v>1</v>
      </c>
      <c r="AB295" s="1" t="str">
        <f>TEXT(urbanthreads_q4[[#This Row],[Order Date]],"mm-yyyy")</f>
        <v>12-2024</v>
      </c>
      <c r="AC295" s="1" t="str">
        <f>YEAR(urbanthreads_q4[[#This Row],[Order Date]]) &amp; "-W" &amp; WEEKNUM(urbanthreads_q4[[#This Row],[Order Date]], 2)</f>
        <v>2024-W51</v>
      </c>
      <c r="AD295" s="1" t="str">
        <f>IF(urbanthreads_q4[[#This Row],[Payment]]="COD","COD","Prepaid")</f>
        <v>Prepaid</v>
      </c>
    </row>
    <row r="296" spans="1:30" x14ac:dyDescent="0.3">
      <c r="A296" s="1" t="s">
        <v>343</v>
      </c>
      <c r="B296" s="2">
        <v>45580</v>
      </c>
      <c r="C296" s="1" t="s">
        <v>344</v>
      </c>
      <c r="D296" s="1" t="s">
        <v>25</v>
      </c>
      <c r="E296" s="1" t="s">
        <v>345</v>
      </c>
      <c r="F296" s="1" t="s">
        <v>62</v>
      </c>
      <c r="G296" s="1" t="s">
        <v>346</v>
      </c>
      <c r="H296">
        <v>2999</v>
      </c>
      <c r="I296">
        <v>1</v>
      </c>
      <c r="J296">
        <v>2999</v>
      </c>
      <c r="K296" s="1" t="s">
        <v>29</v>
      </c>
      <c r="L296">
        <v>0</v>
      </c>
      <c r="M296" s="1" t="s">
        <v>44</v>
      </c>
      <c r="N296" s="1" t="s">
        <v>31</v>
      </c>
      <c r="O296" s="1" t="s">
        <v>78</v>
      </c>
      <c r="P296" s="1" t="s">
        <v>79</v>
      </c>
      <c r="Q296" s="1" t="s">
        <v>57</v>
      </c>
      <c r="R296" s="2">
        <v>45592</v>
      </c>
      <c r="S296" s="1" t="s">
        <v>34</v>
      </c>
      <c r="T296" s="1" t="s">
        <v>47</v>
      </c>
      <c r="U296" s="1" t="s">
        <v>69</v>
      </c>
      <c r="V296" s="2">
        <v>45620</v>
      </c>
      <c r="W296" s="1" t="s">
        <v>49</v>
      </c>
      <c r="X296" s="1" t="str">
        <f>IF(urbanthreads_q4[[#This Row],[Qty]]&gt;0,"Valid","Invalid")</f>
        <v>Valid</v>
      </c>
      <c r="Y296" s="1">
        <f>urbanthreads_q4[[#This Row],[Total]]*urbanthreads_q4[[#This Row],[Disc %]]/100</f>
        <v>0</v>
      </c>
      <c r="Z296" s="1">
        <f>urbanthreads_q4[[#This Row],[Total]]-urbanthreads_q4[[#This Row],[Disc %]]</f>
        <v>2999</v>
      </c>
      <c r="AA296" s="1">
        <f>urbanthreads_q4[[#This Row],[Net revenue]]/urbanthreads_q4[[#This Row],[Total]]</f>
        <v>1</v>
      </c>
      <c r="AB296" s="1" t="str">
        <f>TEXT(urbanthreads_q4[[#This Row],[Order Date]],"mm-yyyy")</f>
        <v>10-2024</v>
      </c>
      <c r="AC296" s="1" t="str">
        <f>YEAR(urbanthreads_q4[[#This Row],[Order Date]]) &amp; "-W" &amp; WEEKNUM(urbanthreads_q4[[#This Row],[Order Date]], 2)</f>
        <v>2024-W42</v>
      </c>
      <c r="AD296" s="1" t="str">
        <f>IF(urbanthreads_q4[[#This Row],[Payment]]="COD","COD","Prepaid")</f>
        <v>Prepaid</v>
      </c>
    </row>
    <row r="297" spans="1:30" x14ac:dyDescent="0.3">
      <c r="A297" s="1" t="s">
        <v>1277</v>
      </c>
      <c r="B297" s="2">
        <v>45644</v>
      </c>
      <c r="C297" s="1" t="s">
        <v>1278</v>
      </c>
      <c r="D297" s="1" t="s">
        <v>25</v>
      </c>
      <c r="E297" s="1" t="s">
        <v>1279</v>
      </c>
      <c r="F297" s="1" t="s">
        <v>41</v>
      </c>
      <c r="G297" s="1" t="s">
        <v>1280</v>
      </c>
      <c r="H297">
        <v>3599</v>
      </c>
      <c r="I297">
        <v>1</v>
      </c>
      <c r="J297">
        <v>3599</v>
      </c>
      <c r="K297" s="1" t="s">
        <v>29</v>
      </c>
      <c r="L297">
        <v>0</v>
      </c>
      <c r="M297" s="1" t="s">
        <v>44</v>
      </c>
      <c r="N297" s="1" t="s">
        <v>45</v>
      </c>
      <c r="O297" s="1" t="s">
        <v>172</v>
      </c>
      <c r="P297" s="1" t="s">
        <v>33</v>
      </c>
      <c r="Q297" s="1" t="s">
        <v>32</v>
      </c>
      <c r="R297" s="2">
        <v>45665</v>
      </c>
      <c r="S297" s="1" t="s">
        <v>34</v>
      </c>
      <c r="T297" s="1" t="s">
        <v>35</v>
      </c>
      <c r="U297" s="1" t="s">
        <v>29</v>
      </c>
      <c r="W297" s="1" t="s">
        <v>36</v>
      </c>
      <c r="X297" s="1" t="str">
        <f>IF(urbanthreads_q4[[#This Row],[Qty]]&gt;0,"Valid","Invalid")</f>
        <v>Valid</v>
      </c>
      <c r="Y297" s="1">
        <f>urbanthreads_q4[[#This Row],[Total]]*urbanthreads_q4[[#This Row],[Disc %]]/100</f>
        <v>0</v>
      </c>
      <c r="Z297" s="1">
        <f>urbanthreads_q4[[#This Row],[Total]]-urbanthreads_q4[[#This Row],[Disc %]]</f>
        <v>3599</v>
      </c>
      <c r="AA297" s="1">
        <f>urbanthreads_q4[[#This Row],[Net revenue]]/urbanthreads_q4[[#This Row],[Total]]</f>
        <v>1</v>
      </c>
      <c r="AB297" s="1" t="str">
        <f>TEXT(urbanthreads_q4[[#This Row],[Order Date]],"mm-yyyy")</f>
        <v>12-2024</v>
      </c>
      <c r="AC297" s="1" t="str">
        <f>YEAR(urbanthreads_q4[[#This Row],[Order Date]]) &amp; "-W" &amp; WEEKNUM(urbanthreads_q4[[#This Row],[Order Date]], 2)</f>
        <v>2024-W51</v>
      </c>
      <c r="AD297" s="1" t="str">
        <f>IF(urbanthreads_q4[[#This Row],[Payment]]="COD","COD","Prepaid")</f>
        <v>Prepaid</v>
      </c>
    </row>
    <row r="298" spans="1:30" x14ac:dyDescent="0.3">
      <c r="A298" s="1" t="s">
        <v>351</v>
      </c>
      <c r="B298" s="2">
        <v>45581</v>
      </c>
      <c r="C298" s="1" t="s">
        <v>352</v>
      </c>
      <c r="D298" s="1" t="s">
        <v>25</v>
      </c>
      <c r="E298" s="1" t="s">
        <v>353</v>
      </c>
      <c r="F298" s="1" t="s">
        <v>54</v>
      </c>
      <c r="G298" s="1" t="s">
        <v>354</v>
      </c>
      <c r="H298">
        <v>2199</v>
      </c>
      <c r="I298">
        <v>1</v>
      </c>
      <c r="J298">
        <v>2199</v>
      </c>
      <c r="K298" s="1" t="s">
        <v>29</v>
      </c>
      <c r="L298">
        <v>0</v>
      </c>
      <c r="M298" s="1" t="s">
        <v>56</v>
      </c>
      <c r="N298" s="1" t="s">
        <v>45</v>
      </c>
      <c r="O298" s="1" t="s">
        <v>97</v>
      </c>
      <c r="P298" s="1" t="s">
        <v>98</v>
      </c>
      <c r="Q298" s="1" t="s">
        <v>32</v>
      </c>
      <c r="R298" s="2">
        <v>45593</v>
      </c>
      <c r="S298" s="1" t="s">
        <v>34</v>
      </c>
      <c r="T298" s="1" t="s">
        <v>47</v>
      </c>
      <c r="U298" s="1" t="s">
        <v>48</v>
      </c>
      <c r="V298" s="2">
        <v>45621</v>
      </c>
      <c r="W298" s="1" t="s">
        <v>49</v>
      </c>
      <c r="X298" s="1" t="str">
        <f>IF(urbanthreads_q4[[#This Row],[Qty]]&gt;0,"Valid","Invalid")</f>
        <v>Valid</v>
      </c>
      <c r="Y298" s="1">
        <f>urbanthreads_q4[[#This Row],[Total]]*urbanthreads_q4[[#This Row],[Disc %]]/100</f>
        <v>0</v>
      </c>
      <c r="Z298" s="1">
        <f>urbanthreads_q4[[#This Row],[Total]]-urbanthreads_q4[[#This Row],[Disc %]]</f>
        <v>2199</v>
      </c>
      <c r="AA298" s="1">
        <f>urbanthreads_q4[[#This Row],[Net revenue]]/urbanthreads_q4[[#This Row],[Total]]</f>
        <v>1</v>
      </c>
      <c r="AB298" s="1" t="str">
        <f>TEXT(urbanthreads_q4[[#This Row],[Order Date]],"mm-yyyy")</f>
        <v>10-2024</v>
      </c>
      <c r="AC298" s="1" t="str">
        <f>YEAR(urbanthreads_q4[[#This Row],[Order Date]]) &amp; "-W" &amp; WEEKNUM(urbanthreads_q4[[#This Row],[Order Date]], 2)</f>
        <v>2024-W42</v>
      </c>
      <c r="AD298" s="1" t="str">
        <f>IF(urbanthreads_q4[[#This Row],[Payment]]="COD","COD","Prepaid")</f>
        <v>COD</v>
      </c>
    </row>
    <row r="299" spans="1:30" x14ac:dyDescent="0.3">
      <c r="A299" s="1" t="s">
        <v>359</v>
      </c>
      <c r="B299" s="2">
        <v>45581</v>
      </c>
      <c r="C299" s="1" t="s">
        <v>360</v>
      </c>
      <c r="D299" s="1" t="s">
        <v>25</v>
      </c>
      <c r="E299" s="1" t="s">
        <v>361</v>
      </c>
      <c r="F299" s="1" t="s">
        <v>27</v>
      </c>
      <c r="G299" s="1" t="s">
        <v>362</v>
      </c>
      <c r="H299">
        <v>1899</v>
      </c>
      <c r="I299">
        <v>1</v>
      </c>
      <c r="J299">
        <v>1899</v>
      </c>
      <c r="K299" s="1" t="s">
        <v>43</v>
      </c>
      <c r="L299">
        <v>20</v>
      </c>
      <c r="M299" s="1" t="s">
        <v>30</v>
      </c>
      <c r="N299" s="1" t="s">
        <v>66</v>
      </c>
      <c r="O299" s="1" t="s">
        <v>113</v>
      </c>
      <c r="P299" s="1" t="s">
        <v>114</v>
      </c>
      <c r="Q299" s="1" t="s">
        <v>46</v>
      </c>
      <c r="R299" s="2">
        <v>45592</v>
      </c>
      <c r="S299" s="1" t="s">
        <v>34</v>
      </c>
      <c r="T299" s="1" t="s">
        <v>47</v>
      </c>
      <c r="U299" s="1" t="s">
        <v>80</v>
      </c>
      <c r="V299" s="2">
        <v>45616</v>
      </c>
      <c r="W299" s="1" t="s">
        <v>49</v>
      </c>
      <c r="X299" s="1" t="str">
        <f>IF(urbanthreads_q4[[#This Row],[Qty]]&gt;0,"Valid","Invalid")</f>
        <v>Valid</v>
      </c>
      <c r="Y299" s="1">
        <f>urbanthreads_q4[[#This Row],[Total]]*urbanthreads_q4[[#This Row],[Disc %]]/100</f>
        <v>379.8</v>
      </c>
      <c r="Z299" s="1">
        <f>urbanthreads_q4[[#This Row],[Total]]-urbanthreads_q4[[#This Row],[Disc %]]</f>
        <v>1879</v>
      </c>
      <c r="AA299" s="1">
        <f>urbanthreads_q4[[#This Row],[Net revenue]]/urbanthreads_q4[[#This Row],[Total]]</f>
        <v>0.98946814112690895</v>
      </c>
      <c r="AB299" s="1" t="str">
        <f>TEXT(urbanthreads_q4[[#This Row],[Order Date]],"mm-yyyy")</f>
        <v>10-2024</v>
      </c>
      <c r="AC299" s="1" t="str">
        <f>YEAR(urbanthreads_q4[[#This Row],[Order Date]]) &amp; "-W" &amp; WEEKNUM(urbanthreads_q4[[#This Row],[Order Date]], 2)</f>
        <v>2024-W42</v>
      </c>
      <c r="AD299" s="1" t="str">
        <f>IF(urbanthreads_q4[[#This Row],[Payment]]="COD","COD","Prepaid")</f>
        <v>Prepaid</v>
      </c>
    </row>
    <row r="300" spans="1:30" x14ac:dyDescent="0.3">
      <c r="A300" s="1" t="s">
        <v>1289</v>
      </c>
      <c r="B300" s="2">
        <v>45645</v>
      </c>
      <c r="C300" s="1" t="s">
        <v>1290</v>
      </c>
      <c r="D300" s="1" t="s">
        <v>39</v>
      </c>
      <c r="E300" s="1" t="s">
        <v>1291</v>
      </c>
      <c r="F300" s="1" t="s">
        <v>72</v>
      </c>
      <c r="G300" s="1" t="s">
        <v>1292</v>
      </c>
      <c r="H300">
        <v>599</v>
      </c>
      <c r="I300">
        <v>3</v>
      </c>
      <c r="J300">
        <v>1797</v>
      </c>
      <c r="K300" s="1" t="s">
        <v>29</v>
      </c>
      <c r="L300">
        <v>0</v>
      </c>
      <c r="M300" s="1" t="s">
        <v>112</v>
      </c>
      <c r="N300" s="1" t="s">
        <v>45</v>
      </c>
      <c r="O300" s="1" t="s">
        <v>188</v>
      </c>
      <c r="P300" s="1" t="s">
        <v>189</v>
      </c>
      <c r="Q300" s="1" t="s">
        <v>57</v>
      </c>
      <c r="R300" s="2">
        <v>45665</v>
      </c>
      <c r="S300" s="1" t="s">
        <v>34</v>
      </c>
      <c r="T300" s="1" t="s">
        <v>35</v>
      </c>
      <c r="U300" s="1" t="s">
        <v>29</v>
      </c>
      <c r="W300" s="1" t="s">
        <v>36</v>
      </c>
      <c r="X300" s="1" t="str">
        <f>IF(urbanthreads_q4[[#This Row],[Qty]]&gt;0,"Valid","Invalid")</f>
        <v>Valid</v>
      </c>
      <c r="Y300" s="1">
        <f>urbanthreads_q4[[#This Row],[Total]]*urbanthreads_q4[[#This Row],[Disc %]]/100</f>
        <v>0</v>
      </c>
      <c r="Z300" s="1">
        <f>urbanthreads_q4[[#This Row],[Total]]-urbanthreads_q4[[#This Row],[Disc %]]</f>
        <v>1797</v>
      </c>
      <c r="AA300" s="1">
        <f>urbanthreads_q4[[#This Row],[Net revenue]]/urbanthreads_q4[[#This Row],[Total]]</f>
        <v>1</v>
      </c>
      <c r="AB300" s="1" t="str">
        <f>TEXT(urbanthreads_q4[[#This Row],[Order Date]],"mm-yyyy")</f>
        <v>12-2024</v>
      </c>
      <c r="AC300" s="1" t="str">
        <f>YEAR(urbanthreads_q4[[#This Row],[Order Date]]) &amp; "-W" &amp; WEEKNUM(urbanthreads_q4[[#This Row],[Order Date]], 2)</f>
        <v>2024-W51</v>
      </c>
      <c r="AD300" s="1" t="str">
        <f>IF(urbanthreads_q4[[#This Row],[Payment]]="COD","COD","Prepaid")</f>
        <v>Prepaid</v>
      </c>
    </row>
    <row r="301" spans="1:30" x14ac:dyDescent="0.3">
      <c r="A301" s="1" t="s">
        <v>367</v>
      </c>
      <c r="B301" s="2">
        <v>45582</v>
      </c>
      <c r="C301" s="1" t="s">
        <v>368</v>
      </c>
      <c r="D301" s="1" t="s">
        <v>25</v>
      </c>
      <c r="E301" s="1" t="s">
        <v>369</v>
      </c>
      <c r="F301" s="1" t="s">
        <v>72</v>
      </c>
      <c r="G301" s="1" t="s">
        <v>370</v>
      </c>
      <c r="H301">
        <v>1599</v>
      </c>
      <c r="I301">
        <v>1</v>
      </c>
      <c r="J301">
        <v>1599</v>
      </c>
      <c r="K301" s="1" t="s">
        <v>29</v>
      </c>
      <c r="L301">
        <v>0</v>
      </c>
      <c r="M301" s="1" t="s">
        <v>44</v>
      </c>
      <c r="N301" s="1" t="s">
        <v>31</v>
      </c>
      <c r="O301" s="1" t="s">
        <v>32</v>
      </c>
      <c r="P301" s="1" t="s">
        <v>33</v>
      </c>
      <c r="Q301" s="1" t="s">
        <v>32</v>
      </c>
      <c r="R301" s="2">
        <v>45592</v>
      </c>
      <c r="S301" s="1" t="s">
        <v>34</v>
      </c>
      <c r="T301" s="1" t="s">
        <v>47</v>
      </c>
      <c r="U301" s="1" t="s">
        <v>139</v>
      </c>
      <c r="V301" s="2">
        <v>45618</v>
      </c>
      <c r="W301" s="1" t="s">
        <v>49</v>
      </c>
      <c r="X301" s="1" t="str">
        <f>IF(urbanthreads_q4[[#This Row],[Qty]]&gt;0,"Valid","Invalid")</f>
        <v>Valid</v>
      </c>
      <c r="Y301" s="1">
        <f>urbanthreads_q4[[#This Row],[Total]]*urbanthreads_q4[[#This Row],[Disc %]]/100</f>
        <v>0</v>
      </c>
      <c r="Z301" s="1">
        <f>urbanthreads_q4[[#This Row],[Total]]-urbanthreads_q4[[#This Row],[Disc %]]</f>
        <v>1599</v>
      </c>
      <c r="AA301" s="1">
        <f>urbanthreads_q4[[#This Row],[Net revenue]]/urbanthreads_q4[[#This Row],[Total]]</f>
        <v>1</v>
      </c>
      <c r="AB301" s="1" t="str">
        <f>TEXT(urbanthreads_q4[[#This Row],[Order Date]],"mm-yyyy")</f>
        <v>10-2024</v>
      </c>
      <c r="AC301" s="1" t="str">
        <f>YEAR(urbanthreads_q4[[#This Row],[Order Date]]) &amp; "-W" &amp; WEEKNUM(urbanthreads_q4[[#This Row],[Order Date]], 2)</f>
        <v>2024-W42</v>
      </c>
      <c r="AD301" s="1" t="str">
        <f>IF(urbanthreads_q4[[#This Row],[Payment]]="COD","COD","Prepaid")</f>
        <v>Prepaid</v>
      </c>
    </row>
    <row r="302" spans="1:30" x14ac:dyDescent="0.3">
      <c r="A302" s="1" t="s">
        <v>383</v>
      </c>
      <c r="B302" s="2">
        <v>45583</v>
      </c>
      <c r="C302" s="1" t="s">
        <v>384</v>
      </c>
      <c r="D302" s="1" t="s">
        <v>25</v>
      </c>
      <c r="E302" s="1" t="s">
        <v>385</v>
      </c>
      <c r="F302" s="1" t="s">
        <v>62</v>
      </c>
      <c r="G302" s="1" t="s">
        <v>386</v>
      </c>
      <c r="H302">
        <v>2599</v>
      </c>
      <c r="I302">
        <v>1</v>
      </c>
      <c r="J302">
        <v>2599</v>
      </c>
      <c r="K302" s="1" t="s">
        <v>43</v>
      </c>
      <c r="L302">
        <v>20</v>
      </c>
      <c r="M302" s="1" t="s">
        <v>44</v>
      </c>
      <c r="N302" s="1" t="s">
        <v>66</v>
      </c>
      <c r="O302" s="1" t="s">
        <v>144</v>
      </c>
      <c r="P302" s="1" t="s">
        <v>145</v>
      </c>
      <c r="Q302" s="1" t="s">
        <v>46</v>
      </c>
      <c r="R302" s="2">
        <v>45595</v>
      </c>
      <c r="S302" s="1" t="s">
        <v>34</v>
      </c>
      <c r="T302" s="1" t="s">
        <v>47</v>
      </c>
      <c r="U302" s="1" t="s">
        <v>48</v>
      </c>
      <c r="V302" s="2">
        <v>45622</v>
      </c>
      <c r="W302" s="1" t="s">
        <v>49</v>
      </c>
      <c r="X302" s="1" t="str">
        <f>IF(urbanthreads_q4[[#This Row],[Qty]]&gt;0,"Valid","Invalid")</f>
        <v>Valid</v>
      </c>
      <c r="Y302" s="1">
        <f>urbanthreads_q4[[#This Row],[Total]]*urbanthreads_q4[[#This Row],[Disc %]]/100</f>
        <v>519.79999999999995</v>
      </c>
      <c r="Z302" s="1">
        <f>urbanthreads_q4[[#This Row],[Total]]-urbanthreads_q4[[#This Row],[Disc %]]</f>
        <v>2579</v>
      </c>
      <c r="AA302" s="1">
        <f>urbanthreads_q4[[#This Row],[Net revenue]]/urbanthreads_q4[[#This Row],[Total]]</f>
        <v>0.99230473258945751</v>
      </c>
      <c r="AB302" s="1" t="str">
        <f>TEXT(urbanthreads_q4[[#This Row],[Order Date]],"mm-yyyy")</f>
        <v>10-2024</v>
      </c>
      <c r="AC302" s="1" t="str">
        <f>YEAR(urbanthreads_q4[[#This Row],[Order Date]]) &amp; "-W" &amp; WEEKNUM(urbanthreads_q4[[#This Row],[Order Date]], 2)</f>
        <v>2024-W42</v>
      </c>
      <c r="AD302" s="1" t="str">
        <f>IF(urbanthreads_q4[[#This Row],[Payment]]="COD","COD","Prepaid")</f>
        <v>Prepaid</v>
      </c>
    </row>
    <row r="303" spans="1:30" x14ac:dyDescent="0.3">
      <c r="A303" s="1" t="s">
        <v>1301</v>
      </c>
      <c r="B303" s="2">
        <v>45646</v>
      </c>
      <c r="C303" s="1" t="s">
        <v>1302</v>
      </c>
      <c r="D303" s="1" t="s">
        <v>25</v>
      </c>
      <c r="E303" s="1" t="s">
        <v>1303</v>
      </c>
      <c r="F303" s="1" t="s">
        <v>54</v>
      </c>
      <c r="G303" s="1" t="s">
        <v>1304</v>
      </c>
      <c r="H303">
        <v>2199</v>
      </c>
      <c r="I303">
        <v>1</v>
      </c>
      <c r="J303">
        <v>2199</v>
      </c>
      <c r="K303" s="1" t="s">
        <v>29</v>
      </c>
      <c r="L303">
        <v>0</v>
      </c>
      <c r="M303" s="1" t="s">
        <v>30</v>
      </c>
      <c r="N303" s="1" t="s">
        <v>45</v>
      </c>
      <c r="O303" s="1" t="s">
        <v>204</v>
      </c>
      <c r="P303" s="1" t="s">
        <v>98</v>
      </c>
      <c r="Q303" s="1" t="s">
        <v>32</v>
      </c>
      <c r="R303" s="2">
        <v>45667</v>
      </c>
      <c r="S303" s="1" t="s">
        <v>34</v>
      </c>
      <c r="T303" s="1" t="s">
        <v>35</v>
      </c>
      <c r="U303" s="1" t="s">
        <v>29</v>
      </c>
      <c r="W303" s="1" t="s">
        <v>36</v>
      </c>
      <c r="X303" s="1" t="str">
        <f>IF(urbanthreads_q4[[#This Row],[Qty]]&gt;0,"Valid","Invalid")</f>
        <v>Valid</v>
      </c>
      <c r="Y303" s="1">
        <f>urbanthreads_q4[[#This Row],[Total]]*urbanthreads_q4[[#This Row],[Disc %]]/100</f>
        <v>0</v>
      </c>
      <c r="Z303" s="1">
        <f>urbanthreads_q4[[#This Row],[Total]]-urbanthreads_q4[[#This Row],[Disc %]]</f>
        <v>2199</v>
      </c>
      <c r="AA303" s="1">
        <f>urbanthreads_q4[[#This Row],[Net revenue]]/urbanthreads_q4[[#This Row],[Total]]</f>
        <v>1</v>
      </c>
      <c r="AB303" s="1" t="str">
        <f>TEXT(urbanthreads_q4[[#This Row],[Order Date]],"mm-yyyy")</f>
        <v>12-2024</v>
      </c>
      <c r="AC303" s="1" t="str">
        <f>YEAR(urbanthreads_q4[[#This Row],[Order Date]]) &amp; "-W" &amp; WEEKNUM(urbanthreads_q4[[#This Row],[Order Date]], 2)</f>
        <v>2024-W51</v>
      </c>
      <c r="AD303" s="1" t="str">
        <f>IF(urbanthreads_q4[[#This Row],[Payment]]="COD","COD","Prepaid")</f>
        <v>Prepaid</v>
      </c>
    </row>
    <row r="304" spans="1:30" x14ac:dyDescent="0.3">
      <c r="A304" s="1" t="s">
        <v>391</v>
      </c>
      <c r="B304" s="2">
        <v>45583</v>
      </c>
      <c r="C304" s="1" t="s">
        <v>392</v>
      </c>
      <c r="D304" s="1" t="s">
        <v>25</v>
      </c>
      <c r="E304" s="1" t="s">
        <v>393</v>
      </c>
      <c r="F304" s="1" t="s">
        <v>54</v>
      </c>
      <c r="G304" s="1" t="s">
        <v>394</v>
      </c>
      <c r="H304">
        <v>1899</v>
      </c>
      <c r="I304">
        <v>1</v>
      </c>
      <c r="J304">
        <v>1899</v>
      </c>
      <c r="K304" s="1" t="s">
        <v>29</v>
      </c>
      <c r="L304">
        <v>0</v>
      </c>
      <c r="M304" s="1" t="s">
        <v>65</v>
      </c>
      <c r="N304" s="1" t="s">
        <v>31</v>
      </c>
      <c r="O304" s="1" t="s">
        <v>156</v>
      </c>
      <c r="P304" s="1" t="s">
        <v>98</v>
      </c>
      <c r="Q304" s="1" t="s">
        <v>32</v>
      </c>
      <c r="R304" s="2">
        <v>45595</v>
      </c>
      <c r="S304" s="1" t="s">
        <v>34</v>
      </c>
      <c r="T304" s="1" t="s">
        <v>47</v>
      </c>
      <c r="U304" s="1" t="s">
        <v>105</v>
      </c>
      <c r="V304" s="2">
        <v>45624</v>
      </c>
      <c r="W304" s="1" t="s">
        <v>49</v>
      </c>
      <c r="X304" s="1" t="str">
        <f>IF(urbanthreads_q4[[#This Row],[Qty]]&gt;0,"Valid","Invalid")</f>
        <v>Valid</v>
      </c>
      <c r="Y304" s="1">
        <f>urbanthreads_q4[[#This Row],[Total]]*urbanthreads_q4[[#This Row],[Disc %]]/100</f>
        <v>0</v>
      </c>
      <c r="Z304" s="1">
        <f>urbanthreads_q4[[#This Row],[Total]]-urbanthreads_q4[[#This Row],[Disc %]]</f>
        <v>1899</v>
      </c>
      <c r="AA304" s="1">
        <f>urbanthreads_q4[[#This Row],[Net revenue]]/urbanthreads_q4[[#This Row],[Total]]</f>
        <v>1</v>
      </c>
      <c r="AB304" s="1" t="str">
        <f>TEXT(urbanthreads_q4[[#This Row],[Order Date]],"mm-yyyy")</f>
        <v>10-2024</v>
      </c>
      <c r="AC304" s="1" t="str">
        <f>YEAR(urbanthreads_q4[[#This Row],[Order Date]]) &amp; "-W" &amp; WEEKNUM(urbanthreads_q4[[#This Row],[Order Date]], 2)</f>
        <v>2024-W42</v>
      </c>
      <c r="AD304" s="1" t="str">
        <f>IF(urbanthreads_q4[[#This Row],[Payment]]="COD","COD","Prepaid")</f>
        <v>Prepaid</v>
      </c>
    </row>
    <row r="305" spans="1:30" x14ac:dyDescent="0.3">
      <c r="A305" s="1" t="s">
        <v>1309</v>
      </c>
      <c r="B305" s="2">
        <v>45646</v>
      </c>
      <c r="C305" s="1" t="s">
        <v>1310</v>
      </c>
      <c r="D305" s="1" t="s">
        <v>39</v>
      </c>
      <c r="E305" s="1" t="s">
        <v>1311</v>
      </c>
      <c r="F305" s="1" t="s">
        <v>72</v>
      </c>
      <c r="G305" s="1" t="s">
        <v>1312</v>
      </c>
      <c r="H305">
        <v>499</v>
      </c>
      <c r="I305">
        <v>2</v>
      </c>
      <c r="J305">
        <v>998</v>
      </c>
      <c r="K305" s="1" t="s">
        <v>995</v>
      </c>
      <c r="L305">
        <v>20</v>
      </c>
      <c r="M305" s="1" t="s">
        <v>112</v>
      </c>
      <c r="N305" s="1" t="s">
        <v>31</v>
      </c>
      <c r="O305" s="1" t="s">
        <v>214</v>
      </c>
      <c r="P305" s="1" t="s">
        <v>114</v>
      </c>
      <c r="Q305" s="1" t="s">
        <v>46</v>
      </c>
      <c r="R305" s="2">
        <v>45667</v>
      </c>
      <c r="S305" s="1" t="s">
        <v>34</v>
      </c>
      <c r="T305" s="1" t="s">
        <v>35</v>
      </c>
      <c r="U305" s="1" t="s">
        <v>29</v>
      </c>
      <c r="W305" s="1" t="s">
        <v>36</v>
      </c>
      <c r="X305" s="1" t="str">
        <f>IF(urbanthreads_q4[[#This Row],[Qty]]&gt;0,"Valid","Invalid")</f>
        <v>Valid</v>
      </c>
      <c r="Y305" s="1">
        <f>urbanthreads_q4[[#This Row],[Total]]*urbanthreads_q4[[#This Row],[Disc %]]/100</f>
        <v>199.6</v>
      </c>
      <c r="Z305" s="1">
        <f>urbanthreads_q4[[#This Row],[Total]]-urbanthreads_q4[[#This Row],[Disc %]]</f>
        <v>978</v>
      </c>
      <c r="AA305" s="1">
        <f>urbanthreads_q4[[#This Row],[Net revenue]]/urbanthreads_q4[[#This Row],[Total]]</f>
        <v>0.97995991983967934</v>
      </c>
      <c r="AB305" s="1" t="str">
        <f>TEXT(urbanthreads_q4[[#This Row],[Order Date]],"mm-yyyy")</f>
        <v>12-2024</v>
      </c>
      <c r="AC305" s="1" t="str">
        <f>YEAR(urbanthreads_q4[[#This Row],[Order Date]]) &amp; "-W" &amp; WEEKNUM(urbanthreads_q4[[#This Row],[Order Date]], 2)</f>
        <v>2024-W51</v>
      </c>
      <c r="AD305" s="1" t="str">
        <f>IF(urbanthreads_q4[[#This Row],[Payment]]="COD","COD","Prepaid")</f>
        <v>Prepaid</v>
      </c>
    </row>
    <row r="306" spans="1:30" x14ac:dyDescent="0.3">
      <c r="A306" s="1" t="s">
        <v>399</v>
      </c>
      <c r="B306" s="2">
        <v>45584</v>
      </c>
      <c r="C306" s="1" t="s">
        <v>400</v>
      </c>
      <c r="D306" s="1" t="s">
        <v>25</v>
      </c>
      <c r="E306" s="1" t="s">
        <v>401</v>
      </c>
      <c r="F306" s="1" t="s">
        <v>27</v>
      </c>
      <c r="G306" s="1" t="s">
        <v>402</v>
      </c>
      <c r="H306">
        <v>1799</v>
      </c>
      <c r="I306">
        <v>1</v>
      </c>
      <c r="J306">
        <v>1799</v>
      </c>
      <c r="K306" s="1" t="s">
        <v>111</v>
      </c>
      <c r="L306">
        <v>10</v>
      </c>
      <c r="M306" s="1" t="s">
        <v>56</v>
      </c>
      <c r="N306" s="1" t="s">
        <v>45</v>
      </c>
      <c r="O306" s="1" t="s">
        <v>167</v>
      </c>
      <c r="P306" s="1" t="s">
        <v>151</v>
      </c>
      <c r="Q306" s="1" t="s">
        <v>32</v>
      </c>
      <c r="R306" s="2">
        <v>45594</v>
      </c>
      <c r="S306" s="1" t="s">
        <v>34</v>
      </c>
      <c r="T306" s="1" t="s">
        <v>47</v>
      </c>
      <c r="U306" s="1" t="s">
        <v>69</v>
      </c>
      <c r="V306" s="2">
        <v>45621</v>
      </c>
      <c r="W306" s="1" t="s">
        <v>49</v>
      </c>
      <c r="X306" s="1" t="str">
        <f>IF(urbanthreads_q4[[#This Row],[Qty]]&gt;0,"Valid","Invalid")</f>
        <v>Valid</v>
      </c>
      <c r="Y306" s="1">
        <f>urbanthreads_q4[[#This Row],[Total]]*urbanthreads_q4[[#This Row],[Disc %]]/100</f>
        <v>179.9</v>
      </c>
      <c r="Z306" s="1">
        <f>urbanthreads_q4[[#This Row],[Total]]-urbanthreads_q4[[#This Row],[Disc %]]</f>
        <v>1789</v>
      </c>
      <c r="AA306" s="1">
        <f>urbanthreads_q4[[#This Row],[Net revenue]]/urbanthreads_q4[[#This Row],[Total]]</f>
        <v>0.99444135630906061</v>
      </c>
      <c r="AB306" s="1" t="str">
        <f>TEXT(urbanthreads_q4[[#This Row],[Order Date]],"mm-yyyy")</f>
        <v>10-2024</v>
      </c>
      <c r="AC306" s="1" t="str">
        <f>YEAR(urbanthreads_q4[[#This Row],[Order Date]]) &amp; "-W" &amp; WEEKNUM(urbanthreads_q4[[#This Row],[Order Date]], 2)</f>
        <v>2024-W42</v>
      </c>
      <c r="AD306" s="1" t="str">
        <f>IF(urbanthreads_q4[[#This Row],[Payment]]="COD","COD","Prepaid")</f>
        <v>COD</v>
      </c>
    </row>
    <row r="307" spans="1:30" x14ac:dyDescent="0.3">
      <c r="A307" s="1" t="s">
        <v>407</v>
      </c>
      <c r="B307" s="2">
        <v>45584</v>
      </c>
      <c r="C307" s="1" t="s">
        <v>408</v>
      </c>
      <c r="D307" s="1" t="s">
        <v>25</v>
      </c>
      <c r="E307" s="1" t="s">
        <v>409</v>
      </c>
      <c r="F307" s="1" t="s">
        <v>72</v>
      </c>
      <c r="G307" s="1" t="s">
        <v>410</v>
      </c>
      <c r="H307">
        <v>999</v>
      </c>
      <c r="I307">
        <v>1</v>
      </c>
      <c r="J307">
        <v>999</v>
      </c>
      <c r="K307" s="1" t="s">
        <v>29</v>
      </c>
      <c r="L307">
        <v>0</v>
      </c>
      <c r="M307" s="1" t="s">
        <v>112</v>
      </c>
      <c r="N307" s="1" t="s">
        <v>66</v>
      </c>
      <c r="O307" s="1" t="s">
        <v>177</v>
      </c>
      <c r="P307" s="1" t="s">
        <v>68</v>
      </c>
      <c r="Q307" s="1" t="s">
        <v>57</v>
      </c>
      <c r="R307" s="2">
        <v>45595</v>
      </c>
      <c r="S307" s="1" t="s">
        <v>34</v>
      </c>
      <c r="T307" s="1" t="s">
        <v>47</v>
      </c>
      <c r="U307" s="1" t="s">
        <v>48</v>
      </c>
      <c r="V307" s="2">
        <v>45624</v>
      </c>
      <c r="W307" s="1" t="s">
        <v>49</v>
      </c>
      <c r="X307" s="1" t="str">
        <f>IF(urbanthreads_q4[[#This Row],[Qty]]&gt;0,"Valid","Invalid")</f>
        <v>Valid</v>
      </c>
      <c r="Y307" s="1">
        <f>urbanthreads_q4[[#This Row],[Total]]*urbanthreads_q4[[#This Row],[Disc %]]/100</f>
        <v>0</v>
      </c>
      <c r="Z307" s="1">
        <f>urbanthreads_q4[[#This Row],[Total]]-urbanthreads_q4[[#This Row],[Disc %]]</f>
        <v>999</v>
      </c>
      <c r="AA307" s="1">
        <f>urbanthreads_q4[[#This Row],[Net revenue]]/urbanthreads_q4[[#This Row],[Total]]</f>
        <v>1</v>
      </c>
      <c r="AB307" s="1" t="str">
        <f>TEXT(urbanthreads_q4[[#This Row],[Order Date]],"mm-yyyy")</f>
        <v>10-2024</v>
      </c>
      <c r="AC307" s="1" t="str">
        <f>YEAR(urbanthreads_q4[[#This Row],[Order Date]]) &amp; "-W" &amp; WEEKNUM(urbanthreads_q4[[#This Row],[Order Date]], 2)</f>
        <v>2024-W42</v>
      </c>
      <c r="AD307" s="1" t="str">
        <f>IF(urbanthreads_q4[[#This Row],[Payment]]="COD","COD","Prepaid")</f>
        <v>Prepaid</v>
      </c>
    </row>
    <row r="308" spans="1:30" x14ac:dyDescent="0.3">
      <c r="A308" s="1" t="s">
        <v>1321</v>
      </c>
      <c r="B308" s="2">
        <v>45647</v>
      </c>
      <c r="C308" s="1" t="s">
        <v>1322</v>
      </c>
      <c r="D308" s="1" t="s">
        <v>25</v>
      </c>
      <c r="E308" s="1" t="s">
        <v>1323</v>
      </c>
      <c r="F308" s="1" t="s">
        <v>54</v>
      </c>
      <c r="G308" s="1" t="s">
        <v>1324</v>
      </c>
      <c r="H308">
        <v>2399</v>
      </c>
      <c r="I308">
        <v>1</v>
      </c>
      <c r="J308">
        <v>2399</v>
      </c>
      <c r="K308" s="1" t="s">
        <v>995</v>
      </c>
      <c r="L308">
        <v>20</v>
      </c>
      <c r="M308" s="1" t="s">
        <v>30</v>
      </c>
      <c r="N308" s="1" t="s">
        <v>31</v>
      </c>
      <c r="O308" s="1" t="s">
        <v>91</v>
      </c>
      <c r="P308" s="1" t="s">
        <v>92</v>
      </c>
      <c r="Q308" s="1" t="s">
        <v>46</v>
      </c>
      <c r="R308" s="2">
        <v>45669</v>
      </c>
      <c r="S308" s="1" t="s">
        <v>34</v>
      </c>
      <c r="T308" s="1" t="s">
        <v>35</v>
      </c>
      <c r="U308" s="1" t="s">
        <v>29</v>
      </c>
      <c r="W308" s="1" t="s">
        <v>36</v>
      </c>
      <c r="X308" s="1" t="str">
        <f>IF(urbanthreads_q4[[#This Row],[Qty]]&gt;0,"Valid","Invalid")</f>
        <v>Valid</v>
      </c>
      <c r="Y308" s="1">
        <f>urbanthreads_q4[[#This Row],[Total]]*urbanthreads_q4[[#This Row],[Disc %]]/100</f>
        <v>479.8</v>
      </c>
      <c r="Z308" s="1">
        <f>urbanthreads_q4[[#This Row],[Total]]-urbanthreads_q4[[#This Row],[Disc %]]</f>
        <v>2379</v>
      </c>
      <c r="AA308" s="1">
        <f>urbanthreads_q4[[#This Row],[Net revenue]]/urbanthreads_q4[[#This Row],[Total]]</f>
        <v>0.99166319299708217</v>
      </c>
      <c r="AB308" s="1" t="str">
        <f>TEXT(urbanthreads_q4[[#This Row],[Order Date]],"mm-yyyy")</f>
        <v>12-2024</v>
      </c>
      <c r="AC308" s="1" t="str">
        <f>YEAR(urbanthreads_q4[[#This Row],[Order Date]]) &amp; "-W" &amp; WEEKNUM(urbanthreads_q4[[#This Row],[Order Date]], 2)</f>
        <v>2024-W51</v>
      </c>
      <c r="AD308" s="1" t="str">
        <f>IF(urbanthreads_q4[[#This Row],[Payment]]="COD","COD","Prepaid")</f>
        <v>Prepaid</v>
      </c>
    </row>
    <row r="309" spans="1:30" x14ac:dyDescent="0.3">
      <c r="A309" s="1" t="s">
        <v>415</v>
      </c>
      <c r="B309" s="2">
        <v>45585</v>
      </c>
      <c r="C309" s="1" t="s">
        <v>416</v>
      </c>
      <c r="D309" s="1" t="s">
        <v>25</v>
      </c>
      <c r="E309" s="1" t="s">
        <v>417</v>
      </c>
      <c r="F309" s="1" t="s">
        <v>41</v>
      </c>
      <c r="G309" s="1" t="s">
        <v>418</v>
      </c>
      <c r="H309">
        <v>2899</v>
      </c>
      <c r="I309">
        <v>1</v>
      </c>
      <c r="J309">
        <v>2899</v>
      </c>
      <c r="K309" s="1" t="s">
        <v>29</v>
      </c>
      <c r="L309">
        <v>0</v>
      </c>
      <c r="M309" s="1" t="s">
        <v>65</v>
      </c>
      <c r="N309" s="1" t="s">
        <v>31</v>
      </c>
      <c r="O309" s="1" t="s">
        <v>188</v>
      </c>
      <c r="P309" s="1" t="s">
        <v>189</v>
      </c>
      <c r="Q309" s="1" t="s">
        <v>57</v>
      </c>
      <c r="R309" s="2">
        <v>45598</v>
      </c>
      <c r="S309" s="1" t="s">
        <v>34</v>
      </c>
      <c r="T309" s="1" t="s">
        <v>47</v>
      </c>
      <c r="U309" s="1" t="s">
        <v>80</v>
      </c>
      <c r="V309" s="2">
        <v>45626</v>
      </c>
      <c r="W309" s="1" t="s">
        <v>49</v>
      </c>
      <c r="X309" s="1" t="str">
        <f>IF(urbanthreads_q4[[#This Row],[Qty]]&gt;0,"Valid","Invalid")</f>
        <v>Valid</v>
      </c>
      <c r="Y309" s="1">
        <f>urbanthreads_q4[[#This Row],[Total]]*urbanthreads_q4[[#This Row],[Disc %]]/100</f>
        <v>0</v>
      </c>
      <c r="Z309" s="1">
        <f>urbanthreads_q4[[#This Row],[Total]]-urbanthreads_q4[[#This Row],[Disc %]]</f>
        <v>2899</v>
      </c>
      <c r="AA309" s="1">
        <f>urbanthreads_q4[[#This Row],[Net revenue]]/urbanthreads_q4[[#This Row],[Total]]</f>
        <v>1</v>
      </c>
      <c r="AB309" s="1" t="str">
        <f>TEXT(urbanthreads_q4[[#This Row],[Order Date]],"mm-yyyy")</f>
        <v>10-2024</v>
      </c>
      <c r="AC309" s="1" t="str">
        <f>YEAR(urbanthreads_q4[[#This Row],[Order Date]]) &amp; "-W" &amp; WEEKNUM(urbanthreads_q4[[#This Row],[Order Date]], 2)</f>
        <v>2024-W42</v>
      </c>
      <c r="AD309" s="1" t="str">
        <f>IF(urbanthreads_q4[[#This Row],[Payment]]="COD","COD","Prepaid")</f>
        <v>Prepaid</v>
      </c>
    </row>
    <row r="310" spans="1:30" x14ac:dyDescent="0.3">
      <c r="A310" s="1" t="s">
        <v>423</v>
      </c>
      <c r="B310" s="2">
        <v>45585</v>
      </c>
      <c r="C310" s="1" t="s">
        <v>424</v>
      </c>
      <c r="D310" s="1" t="s">
        <v>25</v>
      </c>
      <c r="E310" s="1" t="s">
        <v>425</v>
      </c>
      <c r="F310" s="1" t="s">
        <v>62</v>
      </c>
      <c r="G310" s="1" t="s">
        <v>198</v>
      </c>
      <c r="H310">
        <v>5499</v>
      </c>
      <c r="I310">
        <v>1</v>
      </c>
      <c r="J310">
        <v>5499</v>
      </c>
      <c r="K310" s="1" t="s">
        <v>64</v>
      </c>
      <c r="L310">
        <v>15</v>
      </c>
      <c r="M310" s="1" t="s">
        <v>44</v>
      </c>
      <c r="N310" s="1" t="s">
        <v>45</v>
      </c>
      <c r="O310" s="1" t="s">
        <v>199</v>
      </c>
      <c r="P310" s="1" t="s">
        <v>58</v>
      </c>
      <c r="Q310" s="1" t="s">
        <v>57</v>
      </c>
      <c r="R310" s="2">
        <v>45599</v>
      </c>
      <c r="S310" s="1" t="s">
        <v>34</v>
      </c>
      <c r="T310" s="1" t="s">
        <v>47</v>
      </c>
      <c r="U310" s="1" t="s">
        <v>48</v>
      </c>
      <c r="V310" s="2">
        <v>45627</v>
      </c>
      <c r="W310" s="1" t="s">
        <v>49</v>
      </c>
      <c r="X310" s="1" t="str">
        <f>IF(urbanthreads_q4[[#This Row],[Qty]]&gt;0,"Valid","Invalid")</f>
        <v>Valid</v>
      </c>
      <c r="Y310" s="1">
        <f>urbanthreads_q4[[#This Row],[Total]]*urbanthreads_q4[[#This Row],[Disc %]]/100</f>
        <v>824.85</v>
      </c>
      <c r="Z310" s="1">
        <f>urbanthreads_q4[[#This Row],[Total]]-urbanthreads_q4[[#This Row],[Disc %]]</f>
        <v>5484</v>
      </c>
      <c r="AA310" s="1">
        <f>urbanthreads_q4[[#This Row],[Net revenue]]/urbanthreads_q4[[#This Row],[Total]]</f>
        <v>0.99727223131478449</v>
      </c>
      <c r="AB310" s="1" t="str">
        <f>TEXT(urbanthreads_q4[[#This Row],[Order Date]],"mm-yyyy")</f>
        <v>10-2024</v>
      </c>
      <c r="AC310" s="1" t="str">
        <f>YEAR(urbanthreads_q4[[#This Row],[Order Date]]) &amp; "-W" &amp; WEEKNUM(urbanthreads_q4[[#This Row],[Order Date]], 2)</f>
        <v>2024-W42</v>
      </c>
      <c r="AD310" s="1" t="str">
        <f>IF(urbanthreads_q4[[#This Row],[Payment]]="COD","COD","Prepaid")</f>
        <v>Prepaid</v>
      </c>
    </row>
    <row r="311" spans="1:30" x14ac:dyDescent="0.3">
      <c r="A311" s="1" t="s">
        <v>1333</v>
      </c>
      <c r="B311" s="2">
        <v>45648</v>
      </c>
      <c r="C311" s="1" t="s">
        <v>1334</v>
      </c>
      <c r="D311" s="1" t="s">
        <v>25</v>
      </c>
      <c r="E311" s="1" t="s">
        <v>1335</v>
      </c>
      <c r="F311" s="1" t="s">
        <v>27</v>
      </c>
      <c r="G311" s="1" t="s">
        <v>1336</v>
      </c>
      <c r="H311">
        <v>1999</v>
      </c>
      <c r="I311">
        <v>1</v>
      </c>
      <c r="J311">
        <v>1999</v>
      </c>
      <c r="K311" s="1" t="s">
        <v>995</v>
      </c>
      <c r="L311">
        <v>20</v>
      </c>
      <c r="M311" s="1" t="s">
        <v>65</v>
      </c>
      <c r="N311" s="1" t="s">
        <v>31</v>
      </c>
      <c r="O311" s="1" t="s">
        <v>85</v>
      </c>
      <c r="P311" s="1" t="s">
        <v>33</v>
      </c>
      <c r="Q311" s="1" t="s">
        <v>32</v>
      </c>
      <c r="R311" s="2">
        <v>45670</v>
      </c>
      <c r="S311" s="1" t="s">
        <v>34</v>
      </c>
      <c r="T311" s="1" t="s">
        <v>35</v>
      </c>
      <c r="U311" s="1" t="s">
        <v>29</v>
      </c>
      <c r="W311" s="1" t="s">
        <v>36</v>
      </c>
      <c r="X311" s="1" t="str">
        <f>IF(urbanthreads_q4[[#This Row],[Qty]]&gt;0,"Valid","Invalid")</f>
        <v>Valid</v>
      </c>
      <c r="Y311" s="1">
        <f>urbanthreads_q4[[#This Row],[Total]]*urbanthreads_q4[[#This Row],[Disc %]]/100</f>
        <v>399.8</v>
      </c>
      <c r="Z311" s="1">
        <f>urbanthreads_q4[[#This Row],[Total]]-urbanthreads_q4[[#This Row],[Disc %]]</f>
        <v>1979</v>
      </c>
      <c r="AA311" s="1">
        <f>urbanthreads_q4[[#This Row],[Net revenue]]/urbanthreads_q4[[#This Row],[Total]]</f>
        <v>0.98999499749874942</v>
      </c>
      <c r="AB311" s="1" t="str">
        <f>TEXT(urbanthreads_q4[[#This Row],[Order Date]],"mm-yyyy")</f>
        <v>12-2024</v>
      </c>
      <c r="AC311" s="1" t="str">
        <f>YEAR(urbanthreads_q4[[#This Row],[Order Date]]) &amp; "-W" &amp; WEEKNUM(urbanthreads_q4[[#This Row],[Order Date]], 2)</f>
        <v>2024-W51</v>
      </c>
      <c r="AD311" s="1" t="str">
        <f>IF(urbanthreads_q4[[#This Row],[Payment]]="COD","COD","Prepaid")</f>
        <v>Prepaid</v>
      </c>
    </row>
    <row r="312" spans="1:30" x14ac:dyDescent="0.3">
      <c r="A312" s="1" t="s">
        <v>215</v>
      </c>
      <c r="B312" s="2">
        <v>45572</v>
      </c>
      <c r="C312" s="1" t="s">
        <v>216</v>
      </c>
      <c r="D312" s="1" t="s">
        <v>39</v>
      </c>
      <c r="E312" s="1" t="s">
        <v>217</v>
      </c>
      <c r="F312" s="1" t="s">
        <v>41</v>
      </c>
      <c r="G312" s="1" t="s">
        <v>218</v>
      </c>
      <c r="H312">
        <v>5499</v>
      </c>
      <c r="I312">
        <v>1</v>
      </c>
      <c r="J312">
        <v>5499</v>
      </c>
      <c r="K312" s="1" t="s">
        <v>29</v>
      </c>
      <c r="L312">
        <v>0</v>
      </c>
      <c r="M312" s="1" t="s">
        <v>44</v>
      </c>
      <c r="N312" s="1" t="s">
        <v>45</v>
      </c>
      <c r="O312" s="1" t="s">
        <v>32</v>
      </c>
      <c r="P312" s="1" t="s">
        <v>33</v>
      </c>
      <c r="Q312" s="1" t="s">
        <v>32</v>
      </c>
      <c r="R312" s="2">
        <v>45586</v>
      </c>
      <c r="S312" s="1" t="s">
        <v>34</v>
      </c>
      <c r="T312" s="1" t="s">
        <v>47</v>
      </c>
      <c r="U312" s="1" t="s">
        <v>48</v>
      </c>
      <c r="V312" s="2">
        <v>45606</v>
      </c>
      <c r="W312" s="1" t="s">
        <v>49</v>
      </c>
      <c r="X312" s="1" t="str">
        <f>IF(urbanthreads_q4[[#This Row],[Qty]]&gt;0,"Valid","Invalid")</f>
        <v>Valid</v>
      </c>
      <c r="Y312" s="1">
        <f>urbanthreads_q4[[#This Row],[Total]]*urbanthreads_q4[[#This Row],[Disc %]]/100</f>
        <v>0</v>
      </c>
      <c r="Z312" s="1">
        <f>urbanthreads_q4[[#This Row],[Total]]-urbanthreads_q4[[#This Row],[Disc %]]</f>
        <v>5499</v>
      </c>
      <c r="AA312" s="1">
        <f>urbanthreads_q4[[#This Row],[Net revenue]]/urbanthreads_q4[[#This Row],[Total]]</f>
        <v>1</v>
      </c>
      <c r="AB312" s="1" t="str">
        <f>TEXT(urbanthreads_q4[[#This Row],[Order Date]],"mm-yyyy")</f>
        <v>10-2024</v>
      </c>
      <c r="AC312" s="1" t="str">
        <f>YEAR(urbanthreads_q4[[#This Row],[Order Date]]) &amp; "-W" &amp; WEEKNUM(urbanthreads_q4[[#This Row],[Order Date]], 2)</f>
        <v>2024-W41</v>
      </c>
      <c r="AD312" s="1" t="str">
        <f>IF(urbanthreads_q4[[#This Row],[Payment]]="COD","COD","Prepaid")</f>
        <v>Prepaid</v>
      </c>
    </row>
    <row r="313" spans="1:30" x14ac:dyDescent="0.3">
      <c r="A313" s="1" t="s">
        <v>1341</v>
      </c>
      <c r="B313" s="2">
        <v>45648</v>
      </c>
      <c r="C313" s="1" t="s">
        <v>1342</v>
      </c>
      <c r="D313" s="1" t="s">
        <v>25</v>
      </c>
      <c r="E313" s="1" t="s">
        <v>1343</v>
      </c>
      <c r="F313" s="1" t="s">
        <v>54</v>
      </c>
      <c r="G313" s="1" t="s">
        <v>1344</v>
      </c>
      <c r="H313">
        <v>2299</v>
      </c>
      <c r="I313">
        <v>1</v>
      </c>
      <c r="J313">
        <v>2299</v>
      </c>
      <c r="K313" s="1" t="s">
        <v>29</v>
      </c>
      <c r="L313">
        <v>0</v>
      </c>
      <c r="M313" s="1" t="s">
        <v>30</v>
      </c>
      <c r="N313" s="1" t="s">
        <v>66</v>
      </c>
      <c r="O313" s="1" t="s">
        <v>103</v>
      </c>
      <c r="P313" s="1" t="s">
        <v>104</v>
      </c>
      <c r="Q313" s="1" t="s">
        <v>46</v>
      </c>
      <c r="R313" s="2">
        <v>45671</v>
      </c>
      <c r="S313" s="1" t="s">
        <v>34</v>
      </c>
      <c r="T313" s="1" t="s">
        <v>35</v>
      </c>
      <c r="U313" s="1" t="s">
        <v>29</v>
      </c>
      <c r="W313" s="1" t="s">
        <v>36</v>
      </c>
      <c r="X313" s="1" t="str">
        <f>IF(urbanthreads_q4[[#This Row],[Qty]]&gt;0,"Valid","Invalid")</f>
        <v>Valid</v>
      </c>
      <c r="Y313" s="1">
        <f>urbanthreads_q4[[#This Row],[Total]]*urbanthreads_q4[[#This Row],[Disc %]]/100</f>
        <v>0</v>
      </c>
      <c r="Z313" s="1">
        <f>urbanthreads_q4[[#This Row],[Total]]-urbanthreads_q4[[#This Row],[Disc %]]</f>
        <v>2299</v>
      </c>
      <c r="AA313" s="1">
        <f>urbanthreads_q4[[#This Row],[Net revenue]]/urbanthreads_q4[[#This Row],[Total]]</f>
        <v>1</v>
      </c>
      <c r="AB313" s="1" t="str">
        <f>TEXT(urbanthreads_q4[[#This Row],[Order Date]],"mm-yyyy")</f>
        <v>12-2024</v>
      </c>
      <c r="AC313" s="1" t="str">
        <f>YEAR(urbanthreads_q4[[#This Row],[Order Date]]) &amp; "-W" &amp; WEEKNUM(urbanthreads_q4[[#This Row],[Order Date]], 2)</f>
        <v>2024-W51</v>
      </c>
      <c r="AD313" s="1" t="str">
        <f>IF(urbanthreads_q4[[#This Row],[Payment]]="COD","COD","Prepaid")</f>
        <v>Prepaid</v>
      </c>
    </row>
    <row r="314" spans="1:30" x14ac:dyDescent="0.3">
      <c r="A314" s="1" t="s">
        <v>223</v>
      </c>
      <c r="B314" s="2">
        <v>45573</v>
      </c>
      <c r="C314" s="1" t="s">
        <v>224</v>
      </c>
      <c r="D314" s="1" t="s">
        <v>25</v>
      </c>
      <c r="E314" s="1" t="s">
        <v>225</v>
      </c>
      <c r="F314" s="1" t="s">
        <v>62</v>
      </c>
      <c r="G314" s="1" t="s">
        <v>226</v>
      </c>
      <c r="H314">
        <v>6999</v>
      </c>
      <c r="I314">
        <v>1</v>
      </c>
      <c r="J314">
        <v>6999</v>
      </c>
      <c r="K314" s="1" t="s">
        <v>64</v>
      </c>
      <c r="L314">
        <v>15</v>
      </c>
      <c r="M314" s="1" t="s">
        <v>65</v>
      </c>
      <c r="N314" s="1" t="s">
        <v>66</v>
      </c>
      <c r="O314" s="1" t="s">
        <v>91</v>
      </c>
      <c r="P314" s="1" t="s">
        <v>92</v>
      </c>
      <c r="Q314" s="1" t="s">
        <v>46</v>
      </c>
      <c r="R314" s="2">
        <v>45581</v>
      </c>
      <c r="S314" s="1" t="s">
        <v>34</v>
      </c>
      <c r="T314" s="1" t="s">
        <v>47</v>
      </c>
      <c r="U314" s="1" t="s">
        <v>69</v>
      </c>
      <c r="V314" s="2">
        <v>45601</v>
      </c>
      <c r="W314" s="1" t="s">
        <v>49</v>
      </c>
      <c r="X314" s="1" t="str">
        <f>IF(urbanthreads_q4[[#This Row],[Qty]]&gt;0,"Valid","Invalid")</f>
        <v>Valid</v>
      </c>
      <c r="Y314" s="1">
        <f>urbanthreads_q4[[#This Row],[Total]]*urbanthreads_q4[[#This Row],[Disc %]]/100</f>
        <v>1049.8499999999999</v>
      </c>
      <c r="Z314" s="1">
        <f>urbanthreads_q4[[#This Row],[Total]]-urbanthreads_q4[[#This Row],[Disc %]]</f>
        <v>6984</v>
      </c>
      <c r="AA314" s="1">
        <f>urbanthreads_q4[[#This Row],[Net revenue]]/urbanthreads_q4[[#This Row],[Total]]</f>
        <v>0.99785683669095582</v>
      </c>
      <c r="AB314" s="1" t="str">
        <f>TEXT(urbanthreads_q4[[#This Row],[Order Date]],"mm-yyyy")</f>
        <v>10-2024</v>
      </c>
      <c r="AC314" s="1" t="str">
        <f>YEAR(urbanthreads_q4[[#This Row],[Order Date]]) &amp; "-W" &amp; WEEKNUM(urbanthreads_q4[[#This Row],[Order Date]], 2)</f>
        <v>2024-W41</v>
      </c>
      <c r="AD314" s="1" t="str">
        <f>IF(urbanthreads_q4[[#This Row],[Payment]]="COD","COD","Prepaid")</f>
        <v>Prepaid</v>
      </c>
    </row>
    <row r="315" spans="1:30" x14ac:dyDescent="0.3">
      <c r="A315" s="1" t="s">
        <v>1349</v>
      </c>
      <c r="B315" s="2">
        <v>45649</v>
      </c>
      <c r="C315" s="1" t="s">
        <v>1350</v>
      </c>
      <c r="D315" s="1" t="s">
        <v>39</v>
      </c>
      <c r="E315" s="1" t="s">
        <v>1351</v>
      </c>
      <c r="F315" s="1" t="s">
        <v>72</v>
      </c>
      <c r="G315" s="1" t="s">
        <v>1352</v>
      </c>
      <c r="H315">
        <v>1199</v>
      </c>
      <c r="I315">
        <v>1</v>
      </c>
      <c r="J315">
        <v>1199</v>
      </c>
      <c r="K315" s="1" t="s">
        <v>29</v>
      </c>
      <c r="L315">
        <v>0</v>
      </c>
      <c r="M315" s="1" t="s">
        <v>112</v>
      </c>
      <c r="N315" s="1" t="s">
        <v>45</v>
      </c>
      <c r="O315" s="1" t="s">
        <v>57</v>
      </c>
      <c r="P315" s="1" t="s">
        <v>58</v>
      </c>
      <c r="Q315" s="1" t="s">
        <v>57</v>
      </c>
      <c r="R315" s="2">
        <v>45671</v>
      </c>
      <c r="S315" s="1" t="s">
        <v>34</v>
      </c>
      <c r="T315" s="1" t="s">
        <v>35</v>
      </c>
      <c r="U315" s="1" t="s">
        <v>29</v>
      </c>
      <c r="W315" s="1" t="s">
        <v>36</v>
      </c>
      <c r="X315" s="1" t="str">
        <f>IF(urbanthreads_q4[[#This Row],[Qty]]&gt;0,"Valid","Invalid")</f>
        <v>Valid</v>
      </c>
      <c r="Y315" s="1">
        <f>urbanthreads_q4[[#This Row],[Total]]*urbanthreads_q4[[#This Row],[Disc %]]/100</f>
        <v>0</v>
      </c>
      <c r="Z315" s="1">
        <f>urbanthreads_q4[[#This Row],[Total]]-urbanthreads_q4[[#This Row],[Disc %]]</f>
        <v>1199</v>
      </c>
      <c r="AA315" s="1">
        <f>urbanthreads_q4[[#This Row],[Net revenue]]/urbanthreads_q4[[#This Row],[Total]]</f>
        <v>1</v>
      </c>
      <c r="AB315" s="1" t="str">
        <f>TEXT(urbanthreads_q4[[#This Row],[Order Date]],"mm-yyyy")</f>
        <v>12-2024</v>
      </c>
      <c r="AC315" s="1" t="str">
        <f>YEAR(urbanthreads_q4[[#This Row],[Order Date]]) &amp; "-W" &amp; WEEKNUM(urbanthreads_q4[[#This Row],[Order Date]], 2)</f>
        <v>2024-W52</v>
      </c>
      <c r="AD315" s="1" t="str">
        <f>IF(urbanthreads_q4[[#This Row],[Payment]]="COD","COD","Prepaid")</f>
        <v>Prepaid</v>
      </c>
    </row>
    <row r="316" spans="1:30" x14ac:dyDescent="0.3">
      <c r="A316" s="1" t="s">
        <v>231</v>
      </c>
      <c r="B316" s="2">
        <v>45573</v>
      </c>
      <c r="C316" s="1" t="s">
        <v>232</v>
      </c>
      <c r="D316" s="1" t="s">
        <v>25</v>
      </c>
      <c r="E316" s="1" t="s">
        <v>233</v>
      </c>
      <c r="F316" s="1" t="s">
        <v>54</v>
      </c>
      <c r="G316" s="1" t="s">
        <v>234</v>
      </c>
      <c r="H316">
        <v>1599</v>
      </c>
      <c r="I316">
        <v>1</v>
      </c>
      <c r="J316">
        <v>1599</v>
      </c>
      <c r="K316" s="1" t="s">
        <v>29</v>
      </c>
      <c r="L316">
        <v>0</v>
      </c>
      <c r="M316" s="1" t="s">
        <v>56</v>
      </c>
      <c r="N316" s="1" t="s">
        <v>31</v>
      </c>
      <c r="O316" s="1" t="s">
        <v>78</v>
      </c>
      <c r="P316" s="1" t="s">
        <v>79</v>
      </c>
      <c r="Q316" s="1" t="s">
        <v>57</v>
      </c>
      <c r="R316" s="2">
        <v>45582</v>
      </c>
      <c r="S316" s="1" t="s">
        <v>34</v>
      </c>
      <c r="T316" s="1" t="s">
        <v>47</v>
      </c>
      <c r="U316" s="1" t="s">
        <v>48</v>
      </c>
      <c r="V316" s="2">
        <v>45604</v>
      </c>
      <c r="W316" s="1" t="s">
        <v>49</v>
      </c>
      <c r="X316" s="1" t="str">
        <f>IF(urbanthreads_q4[[#This Row],[Qty]]&gt;0,"Valid","Invalid")</f>
        <v>Valid</v>
      </c>
      <c r="Y316" s="1">
        <f>urbanthreads_q4[[#This Row],[Total]]*urbanthreads_q4[[#This Row],[Disc %]]/100</f>
        <v>0</v>
      </c>
      <c r="Z316" s="1">
        <f>urbanthreads_q4[[#This Row],[Total]]-urbanthreads_q4[[#This Row],[Disc %]]</f>
        <v>1599</v>
      </c>
      <c r="AA316" s="1">
        <f>urbanthreads_q4[[#This Row],[Net revenue]]/urbanthreads_q4[[#This Row],[Total]]</f>
        <v>1</v>
      </c>
      <c r="AB316" s="1" t="str">
        <f>TEXT(urbanthreads_q4[[#This Row],[Order Date]],"mm-yyyy")</f>
        <v>10-2024</v>
      </c>
      <c r="AC316" s="1" t="str">
        <f>YEAR(urbanthreads_q4[[#This Row],[Order Date]]) &amp; "-W" &amp; WEEKNUM(urbanthreads_q4[[#This Row],[Order Date]], 2)</f>
        <v>2024-W41</v>
      </c>
      <c r="AD316" s="1" t="str">
        <f>IF(urbanthreads_q4[[#This Row],[Payment]]="COD","COD","Prepaid")</f>
        <v>COD</v>
      </c>
    </row>
    <row r="317" spans="1:30" x14ac:dyDescent="0.3">
      <c r="A317" s="1" t="s">
        <v>239</v>
      </c>
      <c r="B317" s="2">
        <v>45574</v>
      </c>
      <c r="C317" s="1" t="s">
        <v>240</v>
      </c>
      <c r="D317" s="1" t="s">
        <v>25</v>
      </c>
      <c r="E317" s="1" t="s">
        <v>241</v>
      </c>
      <c r="F317" s="1" t="s">
        <v>27</v>
      </c>
      <c r="G317" s="1" t="s">
        <v>242</v>
      </c>
      <c r="H317">
        <v>1799</v>
      </c>
      <c r="I317">
        <v>1</v>
      </c>
      <c r="J317">
        <v>1799</v>
      </c>
      <c r="K317" s="1" t="s">
        <v>29</v>
      </c>
      <c r="L317">
        <v>0</v>
      </c>
      <c r="M317" s="1" t="s">
        <v>30</v>
      </c>
      <c r="N317" s="1" t="s">
        <v>66</v>
      </c>
      <c r="O317" s="1" t="s">
        <v>97</v>
      </c>
      <c r="P317" s="1" t="s">
        <v>98</v>
      </c>
      <c r="Q317" s="1" t="s">
        <v>32</v>
      </c>
      <c r="R317" s="2">
        <v>45582</v>
      </c>
      <c r="S317" s="1" t="s">
        <v>34</v>
      </c>
      <c r="T317" s="1" t="s">
        <v>47</v>
      </c>
      <c r="U317" s="1" t="s">
        <v>80</v>
      </c>
      <c r="V317" s="2">
        <v>45608</v>
      </c>
      <c r="W317" s="1" t="s">
        <v>49</v>
      </c>
      <c r="X317" s="1" t="str">
        <f>IF(urbanthreads_q4[[#This Row],[Qty]]&gt;0,"Valid","Invalid")</f>
        <v>Valid</v>
      </c>
      <c r="Y317" s="1">
        <f>urbanthreads_q4[[#This Row],[Total]]*urbanthreads_q4[[#This Row],[Disc %]]/100</f>
        <v>0</v>
      </c>
      <c r="Z317" s="1">
        <f>urbanthreads_q4[[#This Row],[Total]]-urbanthreads_q4[[#This Row],[Disc %]]</f>
        <v>1799</v>
      </c>
      <c r="AA317" s="1">
        <f>urbanthreads_q4[[#This Row],[Net revenue]]/urbanthreads_q4[[#This Row],[Total]]</f>
        <v>1</v>
      </c>
      <c r="AB317" s="1" t="str">
        <f>TEXT(urbanthreads_q4[[#This Row],[Order Date]],"mm-yyyy")</f>
        <v>10-2024</v>
      </c>
      <c r="AC317" s="1" t="str">
        <f>YEAR(urbanthreads_q4[[#This Row],[Order Date]]) &amp; "-W" &amp; WEEKNUM(urbanthreads_q4[[#This Row],[Order Date]], 2)</f>
        <v>2024-W41</v>
      </c>
      <c r="AD317" s="1" t="str">
        <f>IF(urbanthreads_q4[[#This Row],[Payment]]="COD","COD","Prepaid")</f>
        <v>Prepaid</v>
      </c>
    </row>
    <row r="318" spans="1:30" x14ac:dyDescent="0.3">
      <c r="A318" s="1" t="s">
        <v>1361</v>
      </c>
      <c r="B318" s="2">
        <v>45649</v>
      </c>
      <c r="C318" s="1" t="s">
        <v>1362</v>
      </c>
      <c r="D318" s="1" t="s">
        <v>25</v>
      </c>
      <c r="E318" s="1" t="s">
        <v>1363</v>
      </c>
      <c r="F318" s="1" t="s">
        <v>54</v>
      </c>
      <c r="G318" s="1" t="s">
        <v>1364</v>
      </c>
      <c r="H318">
        <v>2499</v>
      </c>
      <c r="I318">
        <v>1</v>
      </c>
      <c r="J318">
        <v>2499</v>
      </c>
      <c r="K318" s="1" t="s">
        <v>29</v>
      </c>
      <c r="L318">
        <v>0</v>
      </c>
      <c r="M318" s="1" t="s">
        <v>30</v>
      </c>
      <c r="N318" s="1" t="s">
        <v>45</v>
      </c>
      <c r="O318" s="1" t="s">
        <v>119</v>
      </c>
      <c r="P318" s="1" t="s">
        <v>120</v>
      </c>
      <c r="Q318" s="1" t="s">
        <v>46</v>
      </c>
      <c r="R318" s="2">
        <v>45673</v>
      </c>
      <c r="S318" s="1" t="s">
        <v>34</v>
      </c>
      <c r="T318" s="1" t="s">
        <v>35</v>
      </c>
      <c r="U318" s="1" t="s">
        <v>29</v>
      </c>
      <c r="W318" s="1" t="s">
        <v>36</v>
      </c>
      <c r="X318" s="1" t="str">
        <f>IF(urbanthreads_q4[[#This Row],[Qty]]&gt;0,"Valid","Invalid")</f>
        <v>Valid</v>
      </c>
      <c r="Y318" s="1">
        <f>urbanthreads_q4[[#This Row],[Total]]*urbanthreads_q4[[#This Row],[Disc %]]/100</f>
        <v>0</v>
      </c>
      <c r="Z318" s="1">
        <f>urbanthreads_q4[[#This Row],[Total]]-urbanthreads_q4[[#This Row],[Disc %]]</f>
        <v>2499</v>
      </c>
      <c r="AA318" s="1">
        <f>urbanthreads_q4[[#This Row],[Net revenue]]/urbanthreads_q4[[#This Row],[Total]]</f>
        <v>1</v>
      </c>
      <c r="AB318" s="1" t="str">
        <f>TEXT(urbanthreads_q4[[#This Row],[Order Date]],"mm-yyyy")</f>
        <v>12-2024</v>
      </c>
      <c r="AC318" s="1" t="str">
        <f>YEAR(urbanthreads_q4[[#This Row],[Order Date]]) &amp; "-W" &amp; WEEKNUM(urbanthreads_q4[[#This Row],[Order Date]], 2)</f>
        <v>2024-W52</v>
      </c>
      <c r="AD318" s="1" t="str">
        <f>IF(urbanthreads_q4[[#This Row],[Payment]]="COD","COD","Prepaid")</f>
        <v>Prepaid</v>
      </c>
    </row>
    <row r="319" spans="1:30" x14ac:dyDescent="0.3">
      <c r="A319" s="1" t="s">
        <v>251</v>
      </c>
      <c r="B319" s="2">
        <v>45575</v>
      </c>
      <c r="C319" s="1" t="s">
        <v>252</v>
      </c>
      <c r="D319" s="1" t="s">
        <v>25</v>
      </c>
      <c r="E319" s="1" t="s">
        <v>253</v>
      </c>
      <c r="F319" s="1" t="s">
        <v>54</v>
      </c>
      <c r="G319" s="1" t="s">
        <v>254</v>
      </c>
      <c r="H319">
        <v>1699</v>
      </c>
      <c r="I319">
        <v>1</v>
      </c>
      <c r="J319">
        <v>1699</v>
      </c>
      <c r="K319" s="1" t="s">
        <v>29</v>
      </c>
      <c r="L319">
        <v>0</v>
      </c>
      <c r="M319" s="1" t="s">
        <v>56</v>
      </c>
      <c r="N319" s="1" t="s">
        <v>31</v>
      </c>
      <c r="O319" s="1" t="s">
        <v>57</v>
      </c>
      <c r="P319" s="1" t="s">
        <v>58</v>
      </c>
      <c r="Q319" s="1" t="s">
        <v>57</v>
      </c>
      <c r="R319" s="2">
        <v>45584</v>
      </c>
      <c r="S319" s="1" t="s">
        <v>34</v>
      </c>
      <c r="T319" s="1" t="s">
        <v>47</v>
      </c>
      <c r="U319" s="1" t="s">
        <v>48</v>
      </c>
      <c r="V319" s="2">
        <v>45606</v>
      </c>
      <c r="W319" s="1" t="s">
        <v>49</v>
      </c>
      <c r="X319" s="1" t="str">
        <f>IF(urbanthreads_q4[[#This Row],[Qty]]&gt;0,"Valid","Invalid")</f>
        <v>Valid</v>
      </c>
      <c r="Y319" s="1">
        <f>urbanthreads_q4[[#This Row],[Total]]*urbanthreads_q4[[#This Row],[Disc %]]/100</f>
        <v>0</v>
      </c>
      <c r="Z319" s="1">
        <f>urbanthreads_q4[[#This Row],[Total]]-urbanthreads_q4[[#This Row],[Disc %]]</f>
        <v>1699</v>
      </c>
      <c r="AA319" s="1">
        <f>urbanthreads_q4[[#This Row],[Net revenue]]/urbanthreads_q4[[#This Row],[Total]]</f>
        <v>1</v>
      </c>
      <c r="AB319" s="1" t="str">
        <f>TEXT(urbanthreads_q4[[#This Row],[Order Date]],"mm-yyyy")</f>
        <v>10-2024</v>
      </c>
      <c r="AC319" s="1" t="str">
        <f>YEAR(urbanthreads_q4[[#This Row],[Order Date]]) &amp; "-W" &amp; WEEKNUM(urbanthreads_q4[[#This Row],[Order Date]], 2)</f>
        <v>2024-W41</v>
      </c>
      <c r="AD319" s="1" t="str">
        <f>IF(urbanthreads_q4[[#This Row],[Payment]]="COD","COD","Prepaid")</f>
        <v>COD</v>
      </c>
    </row>
    <row r="320" spans="1:30" x14ac:dyDescent="0.3">
      <c r="A320" s="1" t="s">
        <v>1369</v>
      </c>
      <c r="B320" s="2">
        <v>45650</v>
      </c>
      <c r="C320" s="1" t="s">
        <v>1370</v>
      </c>
      <c r="D320" s="1" t="s">
        <v>39</v>
      </c>
      <c r="E320" s="1" t="s">
        <v>1371</v>
      </c>
      <c r="F320" s="1" t="s">
        <v>72</v>
      </c>
      <c r="G320" s="1" t="s">
        <v>1372</v>
      </c>
      <c r="H320">
        <v>499</v>
      </c>
      <c r="I320">
        <v>3</v>
      </c>
      <c r="J320">
        <v>1497</v>
      </c>
      <c r="K320" s="1" t="s">
        <v>995</v>
      </c>
      <c r="L320">
        <v>20</v>
      </c>
      <c r="M320" s="1" t="s">
        <v>112</v>
      </c>
      <c r="N320" s="1" t="s">
        <v>31</v>
      </c>
      <c r="O320" s="1" t="s">
        <v>144</v>
      </c>
      <c r="P320" s="1" t="s">
        <v>145</v>
      </c>
      <c r="Q320" s="1" t="s">
        <v>46</v>
      </c>
      <c r="R320" s="2">
        <v>45673</v>
      </c>
      <c r="S320" s="1" t="s">
        <v>34</v>
      </c>
      <c r="T320" s="1" t="s">
        <v>35</v>
      </c>
      <c r="U320" s="1" t="s">
        <v>29</v>
      </c>
      <c r="W320" s="1" t="s">
        <v>36</v>
      </c>
      <c r="X320" s="1" t="str">
        <f>IF(urbanthreads_q4[[#This Row],[Qty]]&gt;0,"Valid","Invalid")</f>
        <v>Valid</v>
      </c>
      <c r="Y320" s="1">
        <f>urbanthreads_q4[[#This Row],[Total]]*urbanthreads_q4[[#This Row],[Disc %]]/100</f>
        <v>299.39999999999998</v>
      </c>
      <c r="Z320" s="1">
        <f>urbanthreads_q4[[#This Row],[Total]]-urbanthreads_q4[[#This Row],[Disc %]]</f>
        <v>1477</v>
      </c>
      <c r="AA320" s="1">
        <f>urbanthreads_q4[[#This Row],[Net revenue]]/urbanthreads_q4[[#This Row],[Total]]</f>
        <v>0.98663994655978626</v>
      </c>
      <c r="AB320" s="1" t="str">
        <f>TEXT(urbanthreads_q4[[#This Row],[Order Date]],"mm-yyyy")</f>
        <v>12-2024</v>
      </c>
      <c r="AC320" s="1" t="str">
        <f>YEAR(urbanthreads_q4[[#This Row],[Order Date]]) &amp; "-W" &amp; WEEKNUM(urbanthreads_q4[[#This Row],[Order Date]], 2)</f>
        <v>2024-W52</v>
      </c>
      <c r="AD320" s="1" t="str">
        <f>IF(urbanthreads_q4[[#This Row],[Payment]]="COD","COD","Prepaid")</f>
        <v>Prepaid</v>
      </c>
    </row>
    <row r="321" spans="1:30" x14ac:dyDescent="0.3">
      <c r="A321" s="1" t="s">
        <v>259</v>
      </c>
      <c r="B321" s="2">
        <v>45575</v>
      </c>
      <c r="C321" s="1" t="s">
        <v>260</v>
      </c>
      <c r="D321" s="1" t="s">
        <v>39</v>
      </c>
      <c r="E321" s="1" t="s">
        <v>261</v>
      </c>
      <c r="F321" s="1" t="s">
        <v>27</v>
      </c>
      <c r="G321" s="1" t="s">
        <v>262</v>
      </c>
      <c r="H321">
        <v>1599</v>
      </c>
      <c r="I321">
        <v>2</v>
      </c>
      <c r="J321">
        <v>3198</v>
      </c>
      <c r="K321" s="1" t="s">
        <v>43</v>
      </c>
      <c r="L321">
        <v>20</v>
      </c>
      <c r="M321" s="1" t="s">
        <v>44</v>
      </c>
      <c r="N321" s="1" t="s">
        <v>45</v>
      </c>
      <c r="O321" s="1" t="s">
        <v>46</v>
      </c>
      <c r="P321" s="1" t="s">
        <v>46</v>
      </c>
      <c r="Q321" s="1" t="s">
        <v>46</v>
      </c>
      <c r="R321" s="2">
        <v>45582</v>
      </c>
      <c r="S321" s="1" t="s">
        <v>34</v>
      </c>
      <c r="T321" s="1" t="s">
        <v>47</v>
      </c>
      <c r="U321" s="1" t="s">
        <v>105</v>
      </c>
      <c r="V321" s="2">
        <v>45604</v>
      </c>
      <c r="W321" s="1" t="s">
        <v>49</v>
      </c>
      <c r="X321" s="1" t="str">
        <f>IF(urbanthreads_q4[[#This Row],[Qty]]&gt;0,"Valid","Invalid")</f>
        <v>Valid</v>
      </c>
      <c r="Y321" s="1">
        <f>urbanthreads_q4[[#This Row],[Total]]*urbanthreads_q4[[#This Row],[Disc %]]/100</f>
        <v>639.6</v>
      </c>
      <c r="Z321" s="1">
        <f>urbanthreads_q4[[#This Row],[Total]]-urbanthreads_q4[[#This Row],[Disc %]]</f>
        <v>3178</v>
      </c>
      <c r="AA321" s="1">
        <f>urbanthreads_q4[[#This Row],[Net revenue]]/urbanthreads_q4[[#This Row],[Total]]</f>
        <v>0.99374609130706693</v>
      </c>
      <c r="AB321" s="1" t="str">
        <f>TEXT(urbanthreads_q4[[#This Row],[Order Date]],"mm-yyyy")</f>
        <v>10-2024</v>
      </c>
      <c r="AC321" s="1" t="str">
        <f>YEAR(urbanthreads_q4[[#This Row],[Order Date]]) &amp; "-W" &amp; WEEKNUM(urbanthreads_q4[[#This Row],[Order Date]], 2)</f>
        <v>2024-W41</v>
      </c>
      <c r="AD321" s="1" t="str">
        <f>IF(urbanthreads_q4[[#This Row],[Payment]]="COD","COD","Prepaid")</f>
        <v>Prepaid</v>
      </c>
    </row>
    <row r="322" spans="1:30" x14ac:dyDescent="0.3">
      <c r="A322" s="1" t="s">
        <v>267</v>
      </c>
      <c r="B322" s="2">
        <v>45576</v>
      </c>
      <c r="C322" s="1" t="s">
        <v>268</v>
      </c>
      <c r="D322" s="1" t="s">
        <v>25</v>
      </c>
      <c r="E322" s="1" t="s">
        <v>269</v>
      </c>
      <c r="F322" s="1" t="s">
        <v>72</v>
      </c>
      <c r="G322" s="1" t="s">
        <v>270</v>
      </c>
      <c r="H322">
        <v>1899</v>
      </c>
      <c r="I322">
        <v>1</v>
      </c>
      <c r="J322">
        <v>1899</v>
      </c>
      <c r="K322" s="1" t="s">
        <v>29</v>
      </c>
      <c r="L322">
        <v>0</v>
      </c>
      <c r="M322" s="1" t="s">
        <v>65</v>
      </c>
      <c r="N322" s="1" t="s">
        <v>66</v>
      </c>
      <c r="O322" s="1" t="s">
        <v>138</v>
      </c>
      <c r="P322" s="1" t="s">
        <v>114</v>
      </c>
      <c r="Q322" s="1" t="s">
        <v>46</v>
      </c>
      <c r="R322" s="2">
        <v>45586</v>
      </c>
      <c r="S322" s="1" t="s">
        <v>34</v>
      </c>
      <c r="T322" s="1" t="s">
        <v>47</v>
      </c>
      <c r="U322" s="1" t="s">
        <v>139</v>
      </c>
      <c r="V322" s="2">
        <v>45608</v>
      </c>
      <c r="W322" s="1" t="s">
        <v>49</v>
      </c>
      <c r="X322" s="1" t="str">
        <f>IF(urbanthreads_q4[[#This Row],[Qty]]&gt;0,"Valid","Invalid")</f>
        <v>Valid</v>
      </c>
      <c r="Y322" s="1">
        <f>urbanthreads_q4[[#This Row],[Total]]*urbanthreads_q4[[#This Row],[Disc %]]/100</f>
        <v>0</v>
      </c>
      <c r="Z322" s="1">
        <f>urbanthreads_q4[[#This Row],[Total]]-urbanthreads_q4[[#This Row],[Disc %]]</f>
        <v>1899</v>
      </c>
      <c r="AA322" s="1">
        <f>urbanthreads_q4[[#This Row],[Net revenue]]/urbanthreads_q4[[#This Row],[Total]]</f>
        <v>1</v>
      </c>
      <c r="AB322" s="1" t="str">
        <f>TEXT(urbanthreads_q4[[#This Row],[Order Date]],"mm-yyyy")</f>
        <v>10-2024</v>
      </c>
      <c r="AC322" s="1" t="str">
        <f>YEAR(urbanthreads_q4[[#This Row],[Order Date]]) &amp; "-W" &amp; WEEKNUM(urbanthreads_q4[[#This Row],[Order Date]], 2)</f>
        <v>2024-W41</v>
      </c>
      <c r="AD322" s="1" t="str">
        <f>IF(urbanthreads_q4[[#This Row],[Payment]]="COD","COD","Prepaid")</f>
        <v>Prepaid</v>
      </c>
    </row>
    <row r="323" spans="1:30" x14ac:dyDescent="0.3">
      <c r="A323" s="1" t="s">
        <v>1381</v>
      </c>
      <c r="B323" s="2">
        <v>45651</v>
      </c>
      <c r="C323" s="1" t="s">
        <v>1382</v>
      </c>
      <c r="D323" s="1" t="s">
        <v>25</v>
      </c>
      <c r="E323" s="1" t="s">
        <v>1383</v>
      </c>
      <c r="F323" s="1" t="s">
        <v>54</v>
      </c>
      <c r="G323" s="1" t="s">
        <v>1384</v>
      </c>
      <c r="H323">
        <v>1899</v>
      </c>
      <c r="I323">
        <v>1</v>
      </c>
      <c r="J323">
        <v>1899</v>
      </c>
      <c r="K323" s="1" t="s">
        <v>995</v>
      </c>
      <c r="L323">
        <v>20</v>
      </c>
      <c r="M323" s="1" t="s">
        <v>30</v>
      </c>
      <c r="N323" s="1" t="s">
        <v>31</v>
      </c>
      <c r="O323" s="1" t="s">
        <v>161</v>
      </c>
      <c r="P323" s="1" t="s">
        <v>162</v>
      </c>
      <c r="Q323" s="1" t="s">
        <v>46</v>
      </c>
      <c r="R323" s="2">
        <v>45675</v>
      </c>
      <c r="S323" s="1" t="s">
        <v>34</v>
      </c>
      <c r="T323" s="1" t="s">
        <v>35</v>
      </c>
      <c r="U323" s="1" t="s">
        <v>29</v>
      </c>
      <c r="W323" s="1" t="s">
        <v>36</v>
      </c>
      <c r="X323" s="1" t="str">
        <f>IF(urbanthreads_q4[[#This Row],[Qty]]&gt;0,"Valid","Invalid")</f>
        <v>Valid</v>
      </c>
      <c r="Y323" s="1">
        <f>urbanthreads_q4[[#This Row],[Total]]*urbanthreads_q4[[#This Row],[Disc %]]/100</f>
        <v>379.8</v>
      </c>
      <c r="Z323" s="1">
        <f>urbanthreads_q4[[#This Row],[Total]]-urbanthreads_q4[[#This Row],[Disc %]]</f>
        <v>1879</v>
      </c>
      <c r="AA323" s="1">
        <f>urbanthreads_q4[[#This Row],[Net revenue]]/urbanthreads_q4[[#This Row],[Total]]</f>
        <v>0.98946814112690895</v>
      </c>
      <c r="AB323" s="1" t="str">
        <f>TEXT(urbanthreads_q4[[#This Row],[Order Date]],"mm-yyyy")</f>
        <v>12-2024</v>
      </c>
      <c r="AC323" s="1" t="str">
        <f>YEAR(urbanthreads_q4[[#This Row],[Order Date]]) &amp; "-W" &amp; WEEKNUM(urbanthreads_q4[[#This Row],[Order Date]], 2)</f>
        <v>2024-W52</v>
      </c>
      <c r="AD323" s="1" t="str">
        <f>IF(urbanthreads_q4[[#This Row],[Payment]]="COD","COD","Prepaid")</f>
        <v>Prepaid</v>
      </c>
    </row>
    <row r="324" spans="1:30" x14ac:dyDescent="0.3">
      <c r="A324" s="1" t="s">
        <v>283</v>
      </c>
      <c r="B324" s="2">
        <v>45577</v>
      </c>
      <c r="C324" s="1" t="s">
        <v>284</v>
      </c>
      <c r="D324" s="1" t="s">
        <v>25</v>
      </c>
      <c r="E324" s="1" t="s">
        <v>285</v>
      </c>
      <c r="F324" s="1" t="s">
        <v>62</v>
      </c>
      <c r="G324" s="1" t="s">
        <v>286</v>
      </c>
      <c r="H324">
        <v>5999</v>
      </c>
      <c r="I324">
        <v>1</v>
      </c>
      <c r="J324">
        <v>5999</v>
      </c>
      <c r="K324" s="1" t="s">
        <v>43</v>
      </c>
      <c r="L324">
        <v>20</v>
      </c>
      <c r="M324" s="1" t="s">
        <v>44</v>
      </c>
      <c r="N324" s="1" t="s">
        <v>45</v>
      </c>
      <c r="O324" s="1" t="s">
        <v>161</v>
      </c>
      <c r="P324" s="1" t="s">
        <v>162</v>
      </c>
      <c r="Q324" s="1" t="s">
        <v>46</v>
      </c>
      <c r="R324" s="2">
        <v>45587</v>
      </c>
      <c r="S324" s="1" t="s">
        <v>34</v>
      </c>
      <c r="T324" s="1" t="s">
        <v>47</v>
      </c>
      <c r="U324" s="1" t="s">
        <v>48</v>
      </c>
      <c r="V324" s="2">
        <v>45611</v>
      </c>
      <c r="W324" s="1" t="s">
        <v>49</v>
      </c>
      <c r="X324" s="1" t="str">
        <f>IF(urbanthreads_q4[[#This Row],[Qty]]&gt;0,"Valid","Invalid")</f>
        <v>Valid</v>
      </c>
      <c r="Y324" s="1">
        <f>urbanthreads_q4[[#This Row],[Total]]*urbanthreads_q4[[#This Row],[Disc %]]/100</f>
        <v>1199.8</v>
      </c>
      <c r="Z324" s="1">
        <f>urbanthreads_q4[[#This Row],[Total]]-urbanthreads_q4[[#This Row],[Disc %]]</f>
        <v>5979</v>
      </c>
      <c r="AA324" s="1">
        <f>urbanthreads_q4[[#This Row],[Net revenue]]/urbanthreads_q4[[#This Row],[Total]]</f>
        <v>0.99666611101850311</v>
      </c>
      <c r="AB324" s="1" t="str">
        <f>TEXT(urbanthreads_q4[[#This Row],[Order Date]],"mm-yyyy")</f>
        <v>10-2024</v>
      </c>
      <c r="AC324" s="1" t="str">
        <f>YEAR(urbanthreads_q4[[#This Row],[Order Date]]) &amp; "-W" &amp; WEEKNUM(urbanthreads_q4[[#This Row],[Order Date]], 2)</f>
        <v>2024-W41</v>
      </c>
      <c r="AD324" s="1" t="str">
        <f>IF(urbanthreads_q4[[#This Row],[Payment]]="COD","COD","Prepaid")</f>
        <v>Prepaid</v>
      </c>
    </row>
    <row r="325" spans="1:30" x14ac:dyDescent="0.3">
      <c r="A325" s="1" t="s">
        <v>1389</v>
      </c>
      <c r="B325" s="2">
        <v>45651</v>
      </c>
      <c r="C325" s="1" t="s">
        <v>1390</v>
      </c>
      <c r="D325" s="1" t="s">
        <v>39</v>
      </c>
      <c r="E325" s="1" t="s">
        <v>1391</v>
      </c>
      <c r="F325" s="1" t="s">
        <v>72</v>
      </c>
      <c r="G325" s="1" t="s">
        <v>1392</v>
      </c>
      <c r="H325">
        <v>1399</v>
      </c>
      <c r="I325">
        <v>1</v>
      </c>
      <c r="J325">
        <v>1399</v>
      </c>
      <c r="K325" s="1" t="s">
        <v>29</v>
      </c>
      <c r="L325">
        <v>0</v>
      </c>
      <c r="M325" s="1" t="s">
        <v>112</v>
      </c>
      <c r="N325" s="1" t="s">
        <v>66</v>
      </c>
      <c r="O325" s="1" t="s">
        <v>172</v>
      </c>
      <c r="P325" s="1" t="s">
        <v>33</v>
      </c>
      <c r="Q325" s="1" t="s">
        <v>32</v>
      </c>
      <c r="R325" s="2">
        <v>45675</v>
      </c>
      <c r="S325" s="1" t="s">
        <v>34</v>
      </c>
      <c r="T325" s="1" t="s">
        <v>35</v>
      </c>
      <c r="U325" s="1" t="s">
        <v>29</v>
      </c>
      <c r="W325" s="1" t="s">
        <v>36</v>
      </c>
      <c r="X325" s="1" t="str">
        <f>IF(urbanthreads_q4[[#This Row],[Qty]]&gt;0,"Valid","Invalid")</f>
        <v>Valid</v>
      </c>
      <c r="Y325" s="1">
        <f>urbanthreads_q4[[#This Row],[Total]]*urbanthreads_q4[[#This Row],[Disc %]]/100</f>
        <v>0</v>
      </c>
      <c r="Z325" s="1">
        <f>urbanthreads_q4[[#This Row],[Total]]-urbanthreads_q4[[#This Row],[Disc %]]</f>
        <v>1399</v>
      </c>
      <c r="AA325" s="1">
        <f>urbanthreads_q4[[#This Row],[Net revenue]]/urbanthreads_q4[[#This Row],[Total]]</f>
        <v>1</v>
      </c>
      <c r="AB325" s="1" t="str">
        <f>TEXT(urbanthreads_q4[[#This Row],[Order Date]],"mm-yyyy")</f>
        <v>12-2024</v>
      </c>
      <c r="AC325" s="1" t="str">
        <f>YEAR(urbanthreads_q4[[#This Row],[Order Date]]) &amp; "-W" &amp; WEEKNUM(urbanthreads_q4[[#This Row],[Order Date]], 2)</f>
        <v>2024-W52</v>
      </c>
      <c r="AD325" s="1" t="str">
        <f>IF(urbanthreads_q4[[#This Row],[Payment]]="COD","COD","Prepaid")</f>
        <v>Prepaid</v>
      </c>
    </row>
    <row r="326" spans="1:30" x14ac:dyDescent="0.3">
      <c r="A326" s="1" t="s">
        <v>295</v>
      </c>
      <c r="B326" s="2">
        <v>45577</v>
      </c>
      <c r="C326" s="1" t="s">
        <v>296</v>
      </c>
      <c r="D326" s="1" t="s">
        <v>25</v>
      </c>
      <c r="E326" s="1" t="s">
        <v>297</v>
      </c>
      <c r="F326" s="1" t="s">
        <v>41</v>
      </c>
      <c r="G326" s="1" t="s">
        <v>298</v>
      </c>
      <c r="H326">
        <v>1899</v>
      </c>
      <c r="I326">
        <v>1</v>
      </c>
      <c r="J326">
        <v>1899</v>
      </c>
      <c r="K326" s="1" t="s">
        <v>29</v>
      </c>
      <c r="L326">
        <v>0</v>
      </c>
      <c r="M326" s="1" t="s">
        <v>65</v>
      </c>
      <c r="N326" s="1" t="s">
        <v>66</v>
      </c>
      <c r="O326" s="1" t="s">
        <v>177</v>
      </c>
      <c r="P326" s="1" t="s">
        <v>68</v>
      </c>
      <c r="Q326" s="1" t="s">
        <v>57</v>
      </c>
      <c r="R326" s="2">
        <v>45587</v>
      </c>
      <c r="S326" s="1" t="s">
        <v>34</v>
      </c>
      <c r="T326" s="1" t="s">
        <v>47</v>
      </c>
      <c r="U326" s="1" t="s">
        <v>69</v>
      </c>
      <c r="V326" s="2">
        <v>45610</v>
      </c>
      <c r="W326" s="1" t="s">
        <v>49</v>
      </c>
      <c r="X326" s="1" t="str">
        <f>IF(urbanthreads_q4[[#This Row],[Qty]]&gt;0,"Valid","Invalid")</f>
        <v>Valid</v>
      </c>
      <c r="Y326" s="1">
        <f>urbanthreads_q4[[#This Row],[Total]]*urbanthreads_q4[[#This Row],[Disc %]]/100</f>
        <v>0</v>
      </c>
      <c r="Z326" s="1">
        <f>urbanthreads_q4[[#This Row],[Total]]-urbanthreads_q4[[#This Row],[Disc %]]</f>
        <v>1899</v>
      </c>
      <c r="AA326" s="1">
        <f>urbanthreads_q4[[#This Row],[Net revenue]]/urbanthreads_q4[[#This Row],[Total]]</f>
        <v>1</v>
      </c>
      <c r="AB326" s="1" t="str">
        <f>TEXT(urbanthreads_q4[[#This Row],[Order Date]],"mm-yyyy")</f>
        <v>10-2024</v>
      </c>
      <c r="AC326" s="1" t="str">
        <f>YEAR(urbanthreads_q4[[#This Row],[Order Date]]) &amp; "-W" &amp; WEEKNUM(urbanthreads_q4[[#This Row],[Order Date]], 2)</f>
        <v>2024-W41</v>
      </c>
      <c r="AD326" s="1" t="str">
        <f>IF(urbanthreads_q4[[#This Row],[Payment]]="COD","COD","Prepaid")</f>
        <v>Prepaid</v>
      </c>
    </row>
    <row r="327" spans="1:30" x14ac:dyDescent="0.3">
      <c r="A327" s="1" t="s">
        <v>303</v>
      </c>
      <c r="B327" s="2">
        <v>45578</v>
      </c>
      <c r="C327" s="1" t="s">
        <v>304</v>
      </c>
      <c r="D327" s="1" t="s">
        <v>25</v>
      </c>
      <c r="E327" s="1" t="s">
        <v>305</v>
      </c>
      <c r="F327" s="1" t="s">
        <v>62</v>
      </c>
      <c r="G327" s="1" t="s">
        <v>306</v>
      </c>
      <c r="H327">
        <v>3799</v>
      </c>
      <c r="I327">
        <v>1</v>
      </c>
      <c r="J327">
        <v>3799</v>
      </c>
      <c r="K327" s="1" t="s">
        <v>29</v>
      </c>
      <c r="L327">
        <v>0</v>
      </c>
      <c r="M327" s="1" t="s">
        <v>30</v>
      </c>
      <c r="N327" s="1" t="s">
        <v>45</v>
      </c>
      <c r="O327" s="1" t="s">
        <v>188</v>
      </c>
      <c r="P327" s="1" t="s">
        <v>189</v>
      </c>
      <c r="Q327" s="1" t="s">
        <v>57</v>
      </c>
      <c r="R327" s="2">
        <v>45588</v>
      </c>
      <c r="S327" s="1" t="s">
        <v>34</v>
      </c>
      <c r="T327" s="1" t="s">
        <v>47</v>
      </c>
      <c r="U327" s="1" t="s">
        <v>48</v>
      </c>
      <c r="V327" s="2">
        <v>45614</v>
      </c>
      <c r="W327" s="1" t="s">
        <v>49</v>
      </c>
      <c r="X327" s="1" t="str">
        <f>IF(urbanthreads_q4[[#This Row],[Qty]]&gt;0,"Valid","Invalid")</f>
        <v>Valid</v>
      </c>
      <c r="Y327" s="1">
        <f>urbanthreads_q4[[#This Row],[Total]]*urbanthreads_q4[[#This Row],[Disc %]]/100</f>
        <v>0</v>
      </c>
      <c r="Z327" s="1">
        <f>urbanthreads_q4[[#This Row],[Total]]-urbanthreads_q4[[#This Row],[Disc %]]</f>
        <v>3799</v>
      </c>
      <c r="AA327" s="1">
        <f>urbanthreads_q4[[#This Row],[Net revenue]]/urbanthreads_q4[[#This Row],[Total]]</f>
        <v>1</v>
      </c>
      <c r="AB327" s="1" t="str">
        <f>TEXT(urbanthreads_q4[[#This Row],[Order Date]],"mm-yyyy")</f>
        <v>10-2024</v>
      </c>
      <c r="AC327" s="1" t="str">
        <f>YEAR(urbanthreads_q4[[#This Row],[Order Date]]) &amp; "-W" &amp; WEEKNUM(urbanthreads_q4[[#This Row],[Order Date]], 2)</f>
        <v>2024-W41</v>
      </c>
      <c r="AD327" s="1" t="str">
        <f>IF(urbanthreads_q4[[#This Row],[Payment]]="COD","COD","Prepaid")</f>
        <v>Prepaid</v>
      </c>
    </row>
    <row r="328" spans="1:30" x14ac:dyDescent="0.3">
      <c r="A328" s="1" t="s">
        <v>1401</v>
      </c>
      <c r="B328" s="2">
        <v>45652</v>
      </c>
      <c r="C328" s="1" t="s">
        <v>1402</v>
      </c>
      <c r="D328" s="1" t="s">
        <v>25</v>
      </c>
      <c r="E328" s="1" t="s">
        <v>1403</v>
      </c>
      <c r="F328" s="1" t="s">
        <v>54</v>
      </c>
      <c r="G328" s="1" t="s">
        <v>1404</v>
      </c>
      <c r="H328">
        <v>2199</v>
      </c>
      <c r="I328">
        <v>1</v>
      </c>
      <c r="J328">
        <v>2199</v>
      </c>
      <c r="K328" s="1" t="s">
        <v>29</v>
      </c>
      <c r="L328">
        <v>0</v>
      </c>
      <c r="M328" s="1" t="s">
        <v>30</v>
      </c>
      <c r="N328" s="1" t="s">
        <v>66</v>
      </c>
      <c r="O328" s="1" t="s">
        <v>188</v>
      </c>
      <c r="P328" s="1" t="s">
        <v>189</v>
      </c>
      <c r="Q328" s="1" t="s">
        <v>57</v>
      </c>
      <c r="R328" s="2">
        <v>45677</v>
      </c>
      <c r="S328" s="1" t="s">
        <v>34</v>
      </c>
      <c r="T328" s="1" t="s">
        <v>35</v>
      </c>
      <c r="U328" s="1" t="s">
        <v>29</v>
      </c>
      <c r="W328" s="1" t="s">
        <v>36</v>
      </c>
      <c r="X328" s="1" t="str">
        <f>IF(urbanthreads_q4[[#This Row],[Qty]]&gt;0,"Valid","Invalid")</f>
        <v>Valid</v>
      </c>
      <c r="Y328" s="1">
        <f>urbanthreads_q4[[#This Row],[Total]]*urbanthreads_q4[[#This Row],[Disc %]]/100</f>
        <v>0</v>
      </c>
      <c r="Z328" s="1">
        <f>urbanthreads_q4[[#This Row],[Total]]-urbanthreads_q4[[#This Row],[Disc %]]</f>
        <v>2199</v>
      </c>
      <c r="AA328" s="1">
        <f>urbanthreads_q4[[#This Row],[Net revenue]]/urbanthreads_q4[[#This Row],[Total]]</f>
        <v>1</v>
      </c>
      <c r="AB328" s="1" t="str">
        <f>TEXT(urbanthreads_q4[[#This Row],[Order Date]],"mm-yyyy")</f>
        <v>12-2024</v>
      </c>
      <c r="AC328" s="1" t="str">
        <f>YEAR(urbanthreads_q4[[#This Row],[Order Date]]) &amp; "-W" &amp; WEEKNUM(urbanthreads_q4[[#This Row],[Order Date]], 2)</f>
        <v>2024-W52</v>
      </c>
      <c r="AD328" s="1" t="str">
        <f>IF(urbanthreads_q4[[#This Row],[Payment]]="COD","COD","Prepaid")</f>
        <v>Prepaid</v>
      </c>
    </row>
    <row r="329" spans="1:30" x14ac:dyDescent="0.3">
      <c r="A329" s="1" t="s">
        <v>744</v>
      </c>
      <c r="B329" s="2">
        <v>45575</v>
      </c>
      <c r="C329" s="1" t="s">
        <v>745</v>
      </c>
      <c r="D329" s="1" t="s">
        <v>25</v>
      </c>
      <c r="E329" s="1" t="s">
        <v>746</v>
      </c>
      <c r="F329" s="1" t="s">
        <v>62</v>
      </c>
      <c r="G329" s="1" t="s">
        <v>747</v>
      </c>
      <c r="H329">
        <v>4199</v>
      </c>
      <c r="I329">
        <v>1</v>
      </c>
      <c r="J329">
        <v>4199</v>
      </c>
      <c r="K329" s="1" t="s">
        <v>29</v>
      </c>
      <c r="L329">
        <v>0</v>
      </c>
      <c r="M329" s="1" t="s">
        <v>30</v>
      </c>
      <c r="N329" s="1" t="s">
        <v>45</v>
      </c>
      <c r="O329" s="1" t="s">
        <v>177</v>
      </c>
      <c r="P329" s="1" t="s">
        <v>68</v>
      </c>
      <c r="Q329" s="1" t="s">
        <v>57</v>
      </c>
      <c r="R329" s="2">
        <v>45621</v>
      </c>
      <c r="S329" s="1" t="s">
        <v>34</v>
      </c>
      <c r="T329" s="1" t="s">
        <v>47</v>
      </c>
      <c r="U329" s="1" t="s">
        <v>69</v>
      </c>
      <c r="V329" s="2">
        <v>45650</v>
      </c>
      <c r="W329" s="1" t="s">
        <v>49</v>
      </c>
      <c r="X329" s="1" t="str">
        <f>IF(urbanthreads_q4[[#This Row],[Qty]]&gt;0,"Valid","Invalid")</f>
        <v>Valid</v>
      </c>
      <c r="Y329" s="1">
        <f>urbanthreads_q4[[#This Row],[Total]]*urbanthreads_q4[[#This Row],[Disc %]]/100</f>
        <v>0</v>
      </c>
      <c r="Z329" s="1">
        <f>urbanthreads_q4[[#This Row],[Total]]-urbanthreads_q4[[#This Row],[Disc %]]</f>
        <v>4199</v>
      </c>
      <c r="AA329" s="1">
        <f>urbanthreads_q4[[#This Row],[Net revenue]]/urbanthreads_q4[[#This Row],[Total]]</f>
        <v>1</v>
      </c>
      <c r="AB329" s="1" t="str">
        <f>TEXT(urbanthreads_q4[[#This Row],[Order Date]],"mm-yyyy")</f>
        <v>10-2024</v>
      </c>
      <c r="AC329" s="1" t="str">
        <f>YEAR(urbanthreads_q4[[#This Row],[Order Date]]) &amp; "-W" &amp; WEEKNUM(urbanthreads_q4[[#This Row],[Order Date]], 2)</f>
        <v>2024-W41</v>
      </c>
      <c r="AD329" s="1" t="str">
        <f>IF(urbanthreads_q4[[#This Row],[Payment]]="COD","COD","Prepaid")</f>
        <v>Prepaid</v>
      </c>
    </row>
    <row r="330" spans="1:30" x14ac:dyDescent="0.3">
      <c r="A330" s="1" t="s">
        <v>37</v>
      </c>
      <c r="B330" s="2">
        <v>45566</v>
      </c>
      <c r="C330" s="1" t="s">
        <v>38</v>
      </c>
      <c r="D330" s="1" t="s">
        <v>39</v>
      </c>
      <c r="E330" s="1" t="s">
        <v>40</v>
      </c>
      <c r="F330" s="1" t="s">
        <v>41</v>
      </c>
      <c r="G330" s="1" t="s">
        <v>42</v>
      </c>
      <c r="H330">
        <v>2499</v>
      </c>
      <c r="I330">
        <v>1</v>
      </c>
      <c r="J330">
        <v>2499</v>
      </c>
      <c r="K330" s="1" t="s">
        <v>43</v>
      </c>
      <c r="L330">
        <v>20</v>
      </c>
      <c r="M330" s="1" t="s">
        <v>44</v>
      </c>
      <c r="N330" s="1" t="s">
        <v>45</v>
      </c>
      <c r="O330" s="1" t="s">
        <v>46</v>
      </c>
      <c r="P330" s="1" t="s">
        <v>46</v>
      </c>
      <c r="Q330" s="1" t="s">
        <v>46</v>
      </c>
      <c r="R330" s="2">
        <v>45569</v>
      </c>
      <c r="S330" s="1" t="s">
        <v>34</v>
      </c>
      <c r="T330" s="1" t="s">
        <v>47</v>
      </c>
      <c r="U330" s="1" t="s">
        <v>48</v>
      </c>
      <c r="V330" s="2">
        <v>45580</v>
      </c>
      <c r="W330" s="1" t="s">
        <v>49</v>
      </c>
      <c r="X330" s="1" t="str">
        <f>IF(urbanthreads_q4[[#This Row],[Qty]]&gt;0,"Valid","Invalid")</f>
        <v>Valid</v>
      </c>
      <c r="Y330" s="1">
        <f>urbanthreads_q4[[#This Row],[Total]]*urbanthreads_q4[[#This Row],[Disc %]]/100</f>
        <v>499.8</v>
      </c>
      <c r="Z330" s="1">
        <f>urbanthreads_q4[[#This Row],[Total]]-urbanthreads_q4[[#This Row],[Disc %]]</f>
        <v>2479</v>
      </c>
      <c r="AA330" s="1">
        <f>urbanthreads_q4[[#This Row],[Net revenue]]/urbanthreads_q4[[#This Row],[Total]]</f>
        <v>0.99199679871948776</v>
      </c>
      <c r="AB330" s="1" t="str">
        <f>TEXT(urbanthreads_q4[[#This Row],[Order Date]],"mm-yyyy")</f>
        <v>10-2024</v>
      </c>
      <c r="AC330" s="1" t="str">
        <f>YEAR(urbanthreads_q4[[#This Row],[Order Date]]) &amp; "-W" &amp; WEEKNUM(urbanthreads_q4[[#This Row],[Order Date]], 2)</f>
        <v>2024-W40</v>
      </c>
      <c r="AD330" s="1" t="str">
        <f>IF(urbanthreads_q4[[#This Row],[Payment]]="COD","COD","Prepaid")</f>
        <v>Prepaid</v>
      </c>
    </row>
    <row r="331" spans="1:30" x14ac:dyDescent="0.3">
      <c r="A331" s="1" t="s">
        <v>1413</v>
      </c>
      <c r="B331" s="2">
        <v>45653</v>
      </c>
      <c r="C331" s="1" t="s">
        <v>1414</v>
      </c>
      <c r="D331" s="1" t="s">
        <v>25</v>
      </c>
      <c r="E331" s="1" t="s">
        <v>1415</v>
      </c>
      <c r="F331" s="1" t="s">
        <v>27</v>
      </c>
      <c r="G331" s="1" t="s">
        <v>1416</v>
      </c>
      <c r="H331">
        <v>999</v>
      </c>
      <c r="I331">
        <v>2</v>
      </c>
      <c r="J331">
        <v>1998</v>
      </c>
      <c r="K331" s="1" t="s">
        <v>29</v>
      </c>
      <c r="L331">
        <v>0</v>
      </c>
      <c r="M331" s="1" t="s">
        <v>65</v>
      </c>
      <c r="N331" s="1" t="s">
        <v>66</v>
      </c>
      <c r="O331" s="1" t="s">
        <v>204</v>
      </c>
      <c r="P331" s="1" t="s">
        <v>98</v>
      </c>
      <c r="Q331" s="1" t="s">
        <v>32</v>
      </c>
      <c r="R331" s="2">
        <v>45678</v>
      </c>
      <c r="S331" s="1" t="s">
        <v>34</v>
      </c>
      <c r="T331" s="1" t="s">
        <v>35</v>
      </c>
      <c r="U331" s="1" t="s">
        <v>29</v>
      </c>
      <c r="W331" s="1" t="s">
        <v>36</v>
      </c>
      <c r="X331" s="1" t="str">
        <f>IF(urbanthreads_q4[[#This Row],[Qty]]&gt;0,"Valid","Invalid")</f>
        <v>Valid</v>
      </c>
      <c r="Y331" s="1">
        <f>urbanthreads_q4[[#This Row],[Total]]*urbanthreads_q4[[#This Row],[Disc %]]/100</f>
        <v>0</v>
      </c>
      <c r="Z331" s="1">
        <f>urbanthreads_q4[[#This Row],[Total]]-urbanthreads_q4[[#This Row],[Disc %]]</f>
        <v>1998</v>
      </c>
      <c r="AA331" s="1">
        <f>urbanthreads_q4[[#This Row],[Net revenue]]/urbanthreads_q4[[#This Row],[Total]]</f>
        <v>1</v>
      </c>
      <c r="AB331" s="1" t="str">
        <f>TEXT(urbanthreads_q4[[#This Row],[Order Date]],"mm-yyyy")</f>
        <v>12-2024</v>
      </c>
      <c r="AC331" s="1" t="str">
        <f>YEAR(urbanthreads_q4[[#This Row],[Order Date]]) &amp; "-W" &amp; WEEKNUM(urbanthreads_q4[[#This Row],[Order Date]], 2)</f>
        <v>2024-W52</v>
      </c>
      <c r="AD331" s="1" t="str">
        <f>IF(urbanthreads_q4[[#This Row],[Payment]]="COD","COD","Prepaid")</f>
        <v>Prepaid</v>
      </c>
    </row>
    <row r="332" spans="1:30" x14ac:dyDescent="0.3">
      <c r="A332" s="1" t="s">
        <v>59</v>
      </c>
      <c r="B332" s="2">
        <v>45566</v>
      </c>
      <c r="C332" s="1" t="s">
        <v>60</v>
      </c>
      <c r="D332" s="1" t="s">
        <v>25</v>
      </c>
      <c r="E332" s="1" t="s">
        <v>61</v>
      </c>
      <c r="F332" s="1" t="s">
        <v>62</v>
      </c>
      <c r="G332" s="1" t="s">
        <v>63</v>
      </c>
      <c r="H332">
        <v>3499</v>
      </c>
      <c r="I332">
        <v>1</v>
      </c>
      <c r="J332">
        <v>3499</v>
      </c>
      <c r="K332" s="1" t="s">
        <v>64</v>
      </c>
      <c r="L332">
        <v>15</v>
      </c>
      <c r="M332" s="1" t="s">
        <v>65</v>
      </c>
      <c r="N332" s="1" t="s">
        <v>66</v>
      </c>
      <c r="O332" s="1" t="s">
        <v>67</v>
      </c>
      <c r="P332" s="1" t="s">
        <v>68</v>
      </c>
      <c r="Q332" s="1" t="s">
        <v>32</v>
      </c>
      <c r="R332" s="2">
        <v>45573</v>
      </c>
      <c r="S332" s="1" t="s">
        <v>34</v>
      </c>
      <c r="T332" s="1" t="s">
        <v>47</v>
      </c>
      <c r="U332" s="1" t="s">
        <v>69</v>
      </c>
      <c r="V332" s="2">
        <v>45585</v>
      </c>
      <c r="W332" s="1" t="s">
        <v>49</v>
      </c>
      <c r="X332" s="1" t="str">
        <f>IF(urbanthreads_q4[[#This Row],[Qty]]&gt;0,"Valid","Invalid")</f>
        <v>Valid</v>
      </c>
      <c r="Y332" s="1">
        <f>urbanthreads_q4[[#This Row],[Total]]*urbanthreads_q4[[#This Row],[Disc %]]/100</f>
        <v>524.85</v>
      </c>
      <c r="Z332" s="1">
        <f>urbanthreads_q4[[#This Row],[Total]]-urbanthreads_q4[[#This Row],[Disc %]]</f>
        <v>3484</v>
      </c>
      <c r="AA332" s="1">
        <f>urbanthreads_q4[[#This Row],[Net revenue]]/urbanthreads_q4[[#This Row],[Total]]</f>
        <v>0.99571306087453559</v>
      </c>
      <c r="AB332" s="1" t="str">
        <f>TEXT(urbanthreads_q4[[#This Row],[Order Date]],"mm-yyyy")</f>
        <v>10-2024</v>
      </c>
      <c r="AC332" s="1" t="str">
        <f>YEAR(urbanthreads_q4[[#This Row],[Order Date]]) &amp; "-W" &amp; WEEKNUM(urbanthreads_q4[[#This Row],[Order Date]], 2)</f>
        <v>2024-W40</v>
      </c>
      <c r="AD332" s="1" t="str">
        <f>IF(urbanthreads_q4[[#This Row],[Payment]]="COD","COD","Prepaid")</f>
        <v>Prepaid</v>
      </c>
    </row>
    <row r="333" spans="1:30" x14ac:dyDescent="0.3">
      <c r="A333" s="1" t="s">
        <v>1421</v>
      </c>
      <c r="B333" s="2">
        <v>45653</v>
      </c>
      <c r="C333" s="1" t="s">
        <v>1422</v>
      </c>
      <c r="D333" s="1" t="s">
        <v>25</v>
      </c>
      <c r="E333" s="1" t="s">
        <v>1423</v>
      </c>
      <c r="F333" s="1" t="s">
        <v>54</v>
      </c>
      <c r="G333" s="1" t="s">
        <v>1424</v>
      </c>
      <c r="H333">
        <v>1799</v>
      </c>
      <c r="I333">
        <v>1</v>
      </c>
      <c r="J333">
        <v>1799</v>
      </c>
      <c r="K333" s="1" t="s">
        <v>29</v>
      </c>
      <c r="L333">
        <v>0</v>
      </c>
      <c r="M333" s="1" t="s">
        <v>30</v>
      </c>
      <c r="N333" s="1" t="s">
        <v>45</v>
      </c>
      <c r="O333" s="1" t="s">
        <v>214</v>
      </c>
      <c r="P333" s="1" t="s">
        <v>114</v>
      </c>
      <c r="Q333" s="1" t="s">
        <v>46</v>
      </c>
      <c r="R333" s="2">
        <v>45679</v>
      </c>
      <c r="S333" s="1" t="s">
        <v>34</v>
      </c>
      <c r="T333" s="1" t="s">
        <v>35</v>
      </c>
      <c r="U333" s="1" t="s">
        <v>29</v>
      </c>
      <c r="W333" s="1" t="s">
        <v>36</v>
      </c>
      <c r="X333" s="1" t="str">
        <f>IF(urbanthreads_q4[[#This Row],[Qty]]&gt;0,"Valid","Invalid")</f>
        <v>Valid</v>
      </c>
      <c r="Y333" s="1">
        <f>urbanthreads_q4[[#This Row],[Total]]*urbanthreads_q4[[#This Row],[Disc %]]/100</f>
        <v>0</v>
      </c>
      <c r="Z333" s="1">
        <f>urbanthreads_q4[[#This Row],[Total]]-urbanthreads_q4[[#This Row],[Disc %]]</f>
        <v>1799</v>
      </c>
      <c r="AA333" s="1">
        <f>urbanthreads_q4[[#This Row],[Net revenue]]/urbanthreads_q4[[#This Row],[Total]]</f>
        <v>1</v>
      </c>
      <c r="AB333" s="1" t="str">
        <f>TEXT(urbanthreads_q4[[#This Row],[Order Date]],"mm-yyyy")</f>
        <v>12-2024</v>
      </c>
      <c r="AC333" s="1" t="str">
        <f>YEAR(urbanthreads_q4[[#This Row],[Order Date]]) &amp; "-W" &amp; WEEKNUM(urbanthreads_q4[[#This Row],[Order Date]], 2)</f>
        <v>2024-W52</v>
      </c>
      <c r="AD333" s="1" t="str">
        <f>IF(urbanthreads_q4[[#This Row],[Payment]]="COD","COD","Prepaid")</f>
        <v>Prepaid</v>
      </c>
    </row>
    <row r="334" spans="1:30" x14ac:dyDescent="0.3">
      <c r="A334" s="1" t="s">
        <v>74</v>
      </c>
      <c r="B334" s="2">
        <v>45567</v>
      </c>
      <c r="C334" s="1" t="s">
        <v>75</v>
      </c>
      <c r="D334" s="1" t="s">
        <v>39</v>
      </c>
      <c r="E334" s="1" t="s">
        <v>76</v>
      </c>
      <c r="F334" s="1" t="s">
        <v>27</v>
      </c>
      <c r="G334" s="1" t="s">
        <v>77</v>
      </c>
      <c r="H334">
        <v>1599</v>
      </c>
      <c r="I334">
        <v>2</v>
      </c>
      <c r="J334">
        <v>3198</v>
      </c>
      <c r="K334" s="1" t="s">
        <v>29</v>
      </c>
      <c r="L334">
        <v>0</v>
      </c>
      <c r="M334" s="1" t="s">
        <v>44</v>
      </c>
      <c r="N334" s="1" t="s">
        <v>45</v>
      </c>
      <c r="O334" s="1" t="s">
        <v>78</v>
      </c>
      <c r="P334" s="1" t="s">
        <v>79</v>
      </c>
      <c r="Q334" s="1" t="s">
        <v>57</v>
      </c>
      <c r="R334" s="2">
        <v>45572</v>
      </c>
      <c r="S334" s="1" t="s">
        <v>34</v>
      </c>
      <c r="T334" s="1" t="s">
        <v>47</v>
      </c>
      <c r="U334" s="1" t="s">
        <v>80</v>
      </c>
      <c r="V334" s="2">
        <v>45583</v>
      </c>
      <c r="W334" s="1" t="s">
        <v>49</v>
      </c>
      <c r="X334" s="1" t="str">
        <f>IF(urbanthreads_q4[[#This Row],[Qty]]&gt;0,"Valid","Invalid")</f>
        <v>Valid</v>
      </c>
      <c r="Y334" s="1">
        <f>urbanthreads_q4[[#This Row],[Total]]*urbanthreads_q4[[#This Row],[Disc %]]/100</f>
        <v>0</v>
      </c>
      <c r="Z334" s="1">
        <f>urbanthreads_q4[[#This Row],[Total]]-urbanthreads_q4[[#This Row],[Disc %]]</f>
        <v>3198</v>
      </c>
      <c r="AA334" s="1">
        <f>urbanthreads_q4[[#This Row],[Net revenue]]/urbanthreads_q4[[#This Row],[Total]]</f>
        <v>1</v>
      </c>
      <c r="AB334" s="1" t="str">
        <f>TEXT(urbanthreads_q4[[#This Row],[Order Date]],"mm-yyyy")</f>
        <v>10-2024</v>
      </c>
      <c r="AC334" s="1" t="str">
        <f>YEAR(urbanthreads_q4[[#This Row],[Order Date]]) &amp; "-W" &amp; WEEKNUM(urbanthreads_q4[[#This Row],[Order Date]], 2)</f>
        <v>2024-W40</v>
      </c>
      <c r="AD334" s="1" t="str">
        <f>IF(urbanthreads_q4[[#This Row],[Payment]]="COD","COD","Prepaid")</f>
        <v>Prepaid</v>
      </c>
    </row>
    <row r="335" spans="1:30" x14ac:dyDescent="0.3">
      <c r="A335" s="1" t="s">
        <v>1429</v>
      </c>
      <c r="B335" s="2">
        <v>45654</v>
      </c>
      <c r="C335" s="1" t="s">
        <v>1430</v>
      </c>
      <c r="D335" s="1" t="s">
        <v>39</v>
      </c>
      <c r="E335" s="1" t="s">
        <v>1431</v>
      </c>
      <c r="F335" s="1" t="s">
        <v>72</v>
      </c>
      <c r="G335" s="1" t="s">
        <v>1432</v>
      </c>
      <c r="H335">
        <v>799</v>
      </c>
      <c r="I335">
        <v>1</v>
      </c>
      <c r="J335">
        <v>799</v>
      </c>
      <c r="K335" s="1" t="s">
        <v>995</v>
      </c>
      <c r="L335">
        <v>20</v>
      </c>
      <c r="M335" s="1" t="s">
        <v>112</v>
      </c>
      <c r="N335" s="1" t="s">
        <v>31</v>
      </c>
      <c r="O335" s="1" t="s">
        <v>46</v>
      </c>
      <c r="P335" s="1" t="s">
        <v>46</v>
      </c>
      <c r="Q335" s="1" t="s">
        <v>46</v>
      </c>
      <c r="R335" s="2">
        <v>45679</v>
      </c>
      <c r="S335" s="1" t="s">
        <v>34</v>
      </c>
      <c r="T335" s="1" t="s">
        <v>35</v>
      </c>
      <c r="U335" s="1" t="s">
        <v>29</v>
      </c>
      <c r="W335" s="1" t="s">
        <v>36</v>
      </c>
      <c r="X335" s="1" t="str">
        <f>IF(urbanthreads_q4[[#This Row],[Qty]]&gt;0,"Valid","Invalid")</f>
        <v>Valid</v>
      </c>
      <c r="Y335" s="1">
        <f>urbanthreads_q4[[#This Row],[Total]]*urbanthreads_q4[[#This Row],[Disc %]]/100</f>
        <v>159.80000000000001</v>
      </c>
      <c r="Z335" s="1">
        <f>urbanthreads_q4[[#This Row],[Total]]-urbanthreads_q4[[#This Row],[Disc %]]</f>
        <v>779</v>
      </c>
      <c r="AA335" s="1">
        <f>urbanthreads_q4[[#This Row],[Net revenue]]/urbanthreads_q4[[#This Row],[Total]]</f>
        <v>0.97496871088861081</v>
      </c>
      <c r="AB335" s="1" t="str">
        <f>TEXT(urbanthreads_q4[[#This Row],[Order Date]],"mm-yyyy")</f>
        <v>12-2024</v>
      </c>
      <c r="AC335" s="1" t="str">
        <f>YEAR(urbanthreads_q4[[#This Row],[Order Date]]) &amp; "-W" &amp; WEEKNUM(urbanthreads_q4[[#This Row],[Order Date]], 2)</f>
        <v>2024-W52</v>
      </c>
      <c r="AD335" s="1" t="str">
        <f>IF(urbanthreads_q4[[#This Row],[Payment]]="COD","COD","Prepaid")</f>
        <v>Prepaid</v>
      </c>
    </row>
    <row r="336" spans="1:30" x14ac:dyDescent="0.3">
      <c r="A336" s="1" t="s">
        <v>93</v>
      </c>
      <c r="B336" s="2">
        <v>45567</v>
      </c>
      <c r="C336" s="1" t="s">
        <v>94</v>
      </c>
      <c r="D336" s="1" t="s">
        <v>39</v>
      </c>
      <c r="E336" s="1" t="s">
        <v>95</v>
      </c>
      <c r="F336" s="1" t="s">
        <v>27</v>
      </c>
      <c r="G336" s="1" t="s">
        <v>96</v>
      </c>
      <c r="H336">
        <v>1399</v>
      </c>
      <c r="I336">
        <v>5</v>
      </c>
      <c r="J336">
        <v>6995</v>
      </c>
      <c r="K336" s="1" t="s">
        <v>29</v>
      </c>
      <c r="L336">
        <v>0</v>
      </c>
      <c r="M336" s="1" t="s">
        <v>44</v>
      </c>
      <c r="N336" s="1" t="s">
        <v>31</v>
      </c>
      <c r="O336" s="1" t="s">
        <v>97</v>
      </c>
      <c r="P336" s="1" t="s">
        <v>98</v>
      </c>
      <c r="Q336" s="1" t="s">
        <v>32</v>
      </c>
      <c r="R336" s="2">
        <v>45574</v>
      </c>
      <c r="S336" s="1" t="s">
        <v>34</v>
      </c>
      <c r="T336" s="1" t="s">
        <v>47</v>
      </c>
      <c r="U336" s="1" t="s">
        <v>48</v>
      </c>
      <c r="V336" s="2">
        <v>45587</v>
      </c>
      <c r="W336" s="1" t="s">
        <v>49</v>
      </c>
      <c r="X336" s="1" t="str">
        <f>IF(urbanthreads_q4[[#This Row],[Qty]]&gt;0,"Valid","Invalid")</f>
        <v>Valid</v>
      </c>
      <c r="Y336" s="1">
        <f>urbanthreads_q4[[#This Row],[Total]]*urbanthreads_q4[[#This Row],[Disc %]]/100</f>
        <v>0</v>
      </c>
      <c r="Z336" s="1">
        <f>urbanthreads_q4[[#This Row],[Total]]-urbanthreads_q4[[#This Row],[Disc %]]</f>
        <v>6995</v>
      </c>
      <c r="AA336" s="1">
        <f>urbanthreads_q4[[#This Row],[Net revenue]]/urbanthreads_q4[[#This Row],[Total]]</f>
        <v>1</v>
      </c>
      <c r="AB336" s="1" t="str">
        <f>TEXT(urbanthreads_q4[[#This Row],[Order Date]],"mm-yyyy")</f>
        <v>10-2024</v>
      </c>
      <c r="AC336" s="1" t="str">
        <f>YEAR(urbanthreads_q4[[#This Row],[Order Date]]) &amp; "-W" &amp; WEEKNUM(urbanthreads_q4[[#This Row],[Order Date]], 2)</f>
        <v>2024-W40</v>
      </c>
      <c r="AD336" s="1" t="str">
        <f>IF(urbanthreads_q4[[#This Row],[Payment]]="COD","COD","Prepaid")</f>
        <v>Prepaid</v>
      </c>
    </row>
    <row r="337" spans="1:30" x14ac:dyDescent="0.3">
      <c r="A337" s="1" t="s">
        <v>99</v>
      </c>
      <c r="B337" s="2">
        <v>45567</v>
      </c>
      <c r="C337" s="1" t="s">
        <v>100</v>
      </c>
      <c r="D337" s="1" t="s">
        <v>25</v>
      </c>
      <c r="E337" s="1" t="s">
        <v>101</v>
      </c>
      <c r="F337" s="1" t="s">
        <v>62</v>
      </c>
      <c r="G337" s="1" t="s">
        <v>102</v>
      </c>
      <c r="H337">
        <v>4999</v>
      </c>
      <c r="I337">
        <v>-1</v>
      </c>
      <c r="J337">
        <v>4999</v>
      </c>
      <c r="K337" s="1" t="s">
        <v>29</v>
      </c>
      <c r="L337">
        <v>0</v>
      </c>
      <c r="M337" s="1" t="s">
        <v>65</v>
      </c>
      <c r="N337" s="1" t="s">
        <v>66</v>
      </c>
      <c r="O337" s="1" t="s">
        <v>103</v>
      </c>
      <c r="P337" s="1" t="s">
        <v>104</v>
      </c>
      <c r="Q337" s="1" t="s">
        <v>46</v>
      </c>
      <c r="R337" s="2">
        <v>45576</v>
      </c>
      <c r="S337" s="1" t="s">
        <v>34</v>
      </c>
      <c r="T337" s="1" t="s">
        <v>47</v>
      </c>
      <c r="U337" s="1" t="s">
        <v>105</v>
      </c>
      <c r="V337" s="2">
        <v>45590</v>
      </c>
      <c r="W337" s="1" t="s">
        <v>106</v>
      </c>
      <c r="X337" s="1" t="str">
        <f>IF(urbanthreads_q4[[#This Row],[Qty]]&gt;0,"Valid","Invalid")</f>
        <v>Invalid</v>
      </c>
      <c r="Y337" s="1">
        <f>urbanthreads_q4[[#This Row],[Total]]*urbanthreads_q4[[#This Row],[Disc %]]/100</f>
        <v>0</v>
      </c>
      <c r="Z337" s="1">
        <f>urbanthreads_q4[[#This Row],[Total]]-urbanthreads_q4[[#This Row],[Disc %]]</f>
        <v>4999</v>
      </c>
      <c r="AA337" s="1">
        <f>urbanthreads_q4[[#This Row],[Net revenue]]/urbanthreads_q4[[#This Row],[Total]]</f>
        <v>1</v>
      </c>
      <c r="AB337" s="1" t="str">
        <f>TEXT(urbanthreads_q4[[#This Row],[Order Date]],"mm-yyyy")</f>
        <v>10-2024</v>
      </c>
      <c r="AC337" s="1" t="str">
        <f>YEAR(urbanthreads_q4[[#This Row],[Order Date]]) &amp; "-W" &amp; WEEKNUM(urbanthreads_q4[[#This Row],[Order Date]], 2)</f>
        <v>2024-W40</v>
      </c>
      <c r="AD337" s="1" t="str">
        <f>IF(urbanthreads_q4[[#This Row],[Payment]]="COD","COD","Prepaid")</f>
        <v>Prepaid</v>
      </c>
    </row>
    <row r="338" spans="1:30" x14ac:dyDescent="0.3">
      <c r="A338" s="1" t="s">
        <v>1441</v>
      </c>
      <c r="B338" s="2">
        <v>45654</v>
      </c>
      <c r="C338" s="1" t="s">
        <v>1442</v>
      </c>
      <c r="D338" s="1" t="s">
        <v>25</v>
      </c>
      <c r="E338" s="1" t="s">
        <v>1443</v>
      </c>
      <c r="F338" s="1" t="s">
        <v>54</v>
      </c>
      <c r="G338" s="1" t="s">
        <v>1444</v>
      </c>
      <c r="H338">
        <v>2299</v>
      </c>
      <c r="I338">
        <v>1</v>
      </c>
      <c r="J338">
        <v>2299</v>
      </c>
      <c r="K338" s="1" t="s">
        <v>995</v>
      </c>
      <c r="L338">
        <v>20</v>
      </c>
      <c r="M338" s="1" t="s">
        <v>30</v>
      </c>
      <c r="N338" s="1" t="s">
        <v>31</v>
      </c>
      <c r="O338" s="1" t="s">
        <v>78</v>
      </c>
      <c r="P338" s="1" t="s">
        <v>79</v>
      </c>
      <c r="Q338" s="1" t="s">
        <v>57</v>
      </c>
      <c r="R338" s="2">
        <v>45681</v>
      </c>
      <c r="S338" s="1" t="s">
        <v>34</v>
      </c>
      <c r="T338" s="1" t="s">
        <v>35</v>
      </c>
      <c r="U338" s="1" t="s">
        <v>29</v>
      </c>
      <c r="W338" s="1" t="s">
        <v>36</v>
      </c>
      <c r="X338" s="1" t="str">
        <f>IF(urbanthreads_q4[[#This Row],[Qty]]&gt;0,"Valid","Invalid")</f>
        <v>Valid</v>
      </c>
      <c r="Y338" s="1">
        <f>urbanthreads_q4[[#This Row],[Total]]*urbanthreads_q4[[#This Row],[Disc %]]/100</f>
        <v>459.8</v>
      </c>
      <c r="Z338" s="1">
        <f>urbanthreads_q4[[#This Row],[Total]]-urbanthreads_q4[[#This Row],[Disc %]]</f>
        <v>2279</v>
      </c>
      <c r="AA338" s="1">
        <f>urbanthreads_q4[[#This Row],[Net revenue]]/urbanthreads_q4[[#This Row],[Total]]</f>
        <v>0.99130056546324485</v>
      </c>
      <c r="AB338" s="1" t="str">
        <f>TEXT(urbanthreads_q4[[#This Row],[Order Date]],"mm-yyyy")</f>
        <v>12-2024</v>
      </c>
      <c r="AC338" s="1" t="str">
        <f>YEAR(urbanthreads_q4[[#This Row],[Order Date]]) &amp; "-W" &amp; WEEKNUM(urbanthreads_q4[[#This Row],[Order Date]], 2)</f>
        <v>2024-W52</v>
      </c>
      <c r="AD338" s="1" t="str">
        <f>IF(urbanthreads_q4[[#This Row],[Payment]]="COD","COD","Prepaid")</f>
        <v>Prepaid</v>
      </c>
    </row>
    <row r="339" spans="1:30" x14ac:dyDescent="0.3">
      <c r="A339" s="1" t="s">
        <v>126</v>
      </c>
      <c r="B339" s="2">
        <v>45568</v>
      </c>
      <c r="C339" s="1" t="s">
        <v>127</v>
      </c>
      <c r="D339" s="1" t="s">
        <v>25</v>
      </c>
      <c r="E339" s="1" t="s">
        <v>128</v>
      </c>
      <c r="F339" s="1" t="s">
        <v>54</v>
      </c>
      <c r="G339" s="1" t="s">
        <v>129</v>
      </c>
      <c r="H339">
        <v>1799</v>
      </c>
      <c r="I339">
        <v>2</v>
      </c>
      <c r="J339">
        <v>3598</v>
      </c>
      <c r="K339" s="1" t="s">
        <v>43</v>
      </c>
      <c r="L339">
        <v>20</v>
      </c>
      <c r="M339" s="1" t="s">
        <v>30</v>
      </c>
      <c r="N339" s="1" t="s">
        <v>66</v>
      </c>
      <c r="O339" s="1" t="s">
        <v>46</v>
      </c>
      <c r="P339" s="1" t="s">
        <v>46</v>
      </c>
      <c r="Q339" s="1" t="s">
        <v>46</v>
      </c>
      <c r="R339" s="2">
        <v>45576</v>
      </c>
      <c r="S339" s="1" t="s">
        <v>34</v>
      </c>
      <c r="T339" s="1" t="s">
        <v>47</v>
      </c>
      <c r="U339" s="1" t="s">
        <v>48</v>
      </c>
      <c r="V339" s="2">
        <v>45593</v>
      </c>
      <c r="W339" s="1" t="s">
        <v>49</v>
      </c>
      <c r="X339" s="1" t="str">
        <f>IF(urbanthreads_q4[[#This Row],[Qty]]&gt;0,"Valid","Invalid")</f>
        <v>Valid</v>
      </c>
      <c r="Y339" s="1">
        <f>urbanthreads_q4[[#This Row],[Total]]*urbanthreads_q4[[#This Row],[Disc %]]/100</f>
        <v>719.6</v>
      </c>
      <c r="Z339" s="1">
        <f>urbanthreads_q4[[#This Row],[Total]]-urbanthreads_q4[[#This Row],[Disc %]]</f>
        <v>3578</v>
      </c>
      <c r="AA339" s="1">
        <f>urbanthreads_q4[[#This Row],[Net revenue]]/urbanthreads_q4[[#This Row],[Total]]</f>
        <v>0.99444135630906061</v>
      </c>
      <c r="AB339" s="1" t="str">
        <f>TEXT(urbanthreads_q4[[#This Row],[Order Date]],"mm-yyyy")</f>
        <v>10-2024</v>
      </c>
      <c r="AC339" s="1" t="str">
        <f>YEAR(urbanthreads_q4[[#This Row],[Order Date]]) &amp; "-W" &amp; WEEKNUM(urbanthreads_q4[[#This Row],[Order Date]], 2)</f>
        <v>2024-W40</v>
      </c>
      <c r="AD339" s="1" t="str">
        <f>IF(urbanthreads_q4[[#This Row],[Payment]]="COD","COD","Prepaid")</f>
        <v>Prepaid</v>
      </c>
    </row>
    <row r="340" spans="1:30" x14ac:dyDescent="0.3">
      <c r="A340" s="1" t="s">
        <v>134</v>
      </c>
      <c r="B340" s="2">
        <v>45569</v>
      </c>
      <c r="C340" s="1" t="s">
        <v>135</v>
      </c>
      <c r="D340" s="1" t="s">
        <v>39</v>
      </c>
      <c r="E340" s="1" t="s">
        <v>136</v>
      </c>
      <c r="F340" s="1" t="s">
        <v>72</v>
      </c>
      <c r="G340" s="1" t="s">
        <v>137</v>
      </c>
      <c r="H340">
        <v>599</v>
      </c>
      <c r="I340">
        <v>4</v>
      </c>
      <c r="J340">
        <v>2396</v>
      </c>
      <c r="K340" s="1" t="s">
        <v>29</v>
      </c>
      <c r="L340">
        <v>0</v>
      </c>
      <c r="M340" s="1" t="s">
        <v>56</v>
      </c>
      <c r="N340" s="1" t="s">
        <v>31</v>
      </c>
      <c r="O340" s="1" t="s">
        <v>138</v>
      </c>
      <c r="P340" s="1" t="s">
        <v>114</v>
      </c>
      <c r="Q340" s="1" t="s">
        <v>46</v>
      </c>
      <c r="R340" s="2">
        <v>45579</v>
      </c>
      <c r="S340" s="1" t="s">
        <v>34</v>
      </c>
      <c r="T340" s="1" t="s">
        <v>47</v>
      </c>
      <c r="U340" s="1" t="s">
        <v>139</v>
      </c>
      <c r="V340" s="2">
        <v>45591</v>
      </c>
      <c r="W340" s="1" t="s">
        <v>49</v>
      </c>
      <c r="X340" s="1" t="str">
        <f>IF(urbanthreads_q4[[#This Row],[Qty]]&gt;0,"Valid","Invalid")</f>
        <v>Valid</v>
      </c>
      <c r="Y340" s="1">
        <f>urbanthreads_q4[[#This Row],[Total]]*urbanthreads_q4[[#This Row],[Disc %]]/100</f>
        <v>0</v>
      </c>
      <c r="Z340" s="1">
        <f>urbanthreads_q4[[#This Row],[Total]]-urbanthreads_q4[[#This Row],[Disc %]]</f>
        <v>2396</v>
      </c>
      <c r="AA340" s="1">
        <f>urbanthreads_q4[[#This Row],[Net revenue]]/urbanthreads_q4[[#This Row],[Total]]</f>
        <v>1</v>
      </c>
      <c r="AB340" s="1" t="str">
        <f>TEXT(urbanthreads_q4[[#This Row],[Order Date]],"mm-yyyy")</f>
        <v>10-2024</v>
      </c>
      <c r="AC340" s="1" t="str">
        <f>YEAR(urbanthreads_q4[[#This Row],[Order Date]]) &amp; "-W" &amp; WEEKNUM(urbanthreads_q4[[#This Row],[Order Date]], 2)</f>
        <v>2024-W40</v>
      </c>
      <c r="AD340" s="1" t="str">
        <f>IF(urbanthreads_q4[[#This Row],[Payment]]="COD","COD","Prepaid")</f>
        <v>COD</v>
      </c>
    </row>
    <row r="341" spans="1:30" x14ac:dyDescent="0.3">
      <c r="A341" s="1" t="s">
        <v>1453</v>
      </c>
      <c r="B341" s="2">
        <v>45655</v>
      </c>
      <c r="C341" s="1" t="s">
        <v>1454</v>
      </c>
      <c r="D341" s="1" t="s">
        <v>25</v>
      </c>
      <c r="E341" s="1" t="s">
        <v>1455</v>
      </c>
      <c r="F341" s="1" t="s">
        <v>27</v>
      </c>
      <c r="G341" s="1" t="s">
        <v>1456</v>
      </c>
      <c r="H341">
        <v>1999</v>
      </c>
      <c r="I341">
        <v>1</v>
      </c>
      <c r="J341">
        <v>1999</v>
      </c>
      <c r="K341" s="1" t="s">
        <v>995</v>
      </c>
      <c r="L341">
        <v>20</v>
      </c>
      <c r="M341" s="1" t="s">
        <v>65</v>
      </c>
      <c r="N341" s="1" t="s">
        <v>31</v>
      </c>
      <c r="O341" s="1" t="s">
        <v>103</v>
      </c>
      <c r="P341" s="1" t="s">
        <v>104</v>
      </c>
      <c r="Q341" s="1" t="s">
        <v>46</v>
      </c>
      <c r="R341" s="2">
        <v>45682</v>
      </c>
      <c r="S341" s="1" t="s">
        <v>34</v>
      </c>
      <c r="T341" s="1" t="s">
        <v>35</v>
      </c>
      <c r="U341" s="1" t="s">
        <v>29</v>
      </c>
      <c r="W341" s="1" t="s">
        <v>36</v>
      </c>
      <c r="X341" s="1" t="str">
        <f>IF(urbanthreads_q4[[#This Row],[Qty]]&gt;0,"Valid","Invalid")</f>
        <v>Valid</v>
      </c>
      <c r="Y341" s="1">
        <f>urbanthreads_q4[[#This Row],[Total]]*urbanthreads_q4[[#This Row],[Disc %]]/100</f>
        <v>399.8</v>
      </c>
      <c r="Z341" s="1">
        <f>urbanthreads_q4[[#This Row],[Total]]-urbanthreads_q4[[#This Row],[Disc %]]</f>
        <v>1979</v>
      </c>
      <c r="AA341" s="1">
        <f>urbanthreads_q4[[#This Row],[Net revenue]]/urbanthreads_q4[[#This Row],[Total]]</f>
        <v>0.98999499749874942</v>
      </c>
      <c r="AB341" s="1" t="str">
        <f>TEXT(urbanthreads_q4[[#This Row],[Order Date]],"mm-yyyy")</f>
        <v>12-2024</v>
      </c>
      <c r="AC341" s="1" t="str">
        <f>YEAR(urbanthreads_q4[[#This Row],[Order Date]]) &amp; "-W" &amp; WEEKNUM(urbanthreads_q4[[#This Row],[Order Date]], 2)</f>
        <v>2024-W52</v>
      </c>
      <c r="AD341" s="1" t="str">
        <f>IF(urbanthreads_q4[[#This Row],[Payment]]="COD","COD","Prepaid")</f>
        <v>Prepaid</v>
      </c>
    </row>
    <row r="342" spans="1:30" x14ac:dyDescent="0.3">
      <c r="A342" s="1" t="s">
        <v>152</v>
      </c>
      <c r="B342" s="2">
        <v>45569</v>
      </c>
      <c r="C342" s="1" t="s">
        <v>153</v>
      </c>
      <c r="D342" s="1" t="s">
        <v>39</v>
      </c>
      <c r="E342" s="1" t="s">
        <v>154</v>
      </c>
      <c r="F342" s="1" t="s">
        <v>54</v>
      </c>
      <c r="G342" s="1" t="s">
        <v>155</v>
      </c>
      <c r="H342">
        <v>1499</v>
      </c>
      <c r="I342">
        <v>2</v>
      </c>
      <c r="J342">
        <v>2998</v>
      </c>
      <c r="K342" s="1" t="s">
        <v>29</v>
      </c>
      <c r="L342">
        <v>0</v>
      </c>
      <c r="M342" s="1" t="s">
        <v>112</v>
      </c>
      <c r="N342" s="1" t="s">
        <v>66</v>
      </c>
      <c r="O342" s="1" t="s">
        <v>156</v>
      </c>
      <c r="P342" s="1" t="s">
        <v>98</v>
      </c>
      <c r="Q342" s="1" t="s">
        <v>32</v>
      </c>
      <c r="R342" s="2">
        <v>45578</v>
      </c>
      <c r="S342" s="1" t="s">
        <v>34</v>
      </c>
      <c r="T342" s="1" t="s">
        <v>47</v>
      </c>
      <c r="U342" s="1" t="s">
        <v>48</v>
      </c>
      <c r="V342" s="2">
        <v>45595</v>
      </c>
      <c r="W342" s="1" t="s">
        <v>49</v>
      </c>
      <c r="X342" s="1" t="str">
        <f>IF(urbanthreads_q4[[#This Row],[Qty]]&gt;0,"Valid","Invalid")</f>
        <v>Valid</v>
      </c>
      <c r="Y342" s="1">
        <f>urbanthreads_q4[[#This Row],[Total]]*urbanthreads_q4[[#This Row],[Disc %]]/100</f>
        <v>0</v>
      </c>
      <c r="Z342" s="1">
        <f>urbanthreads_q4[[#This Row],[Total]]-urbanthreads_q4[[#This Row],[Disc %]]</f>
        <v>2998</v>
      </c>
      <c r="AA342" s="1">
        <f>urbanthreads_q4[[#This Row],[Net revenue]]/urbanthreads_q4[[#This Row],[Total]]</f>
        <v>1</v>
      </c>
      <c r="AB342" s="1" t="str">
        <f>TEXT(urbanthreads_q4[[#This Row],[Order Date]],"mm-yyyy")</f>
        <v>10-2024</v>
      </c>
      <c r="AC342" s="1" t="str">
        <f>YEAR(urbanthreads_q4[[#This Row],[Order Date]]) &amp; "-W" &amp; WEEKNUM(urbanthreads_q4[[#This Row],[Order Date]], 2)</f>
        <v>2024-W40</v>
      </c>
      <c r="AD342" s="1" t="str">
        <f>IF(urbanthreads_q4[[#This Row],[Payment]]="COD","COD","Prepaid")</f>
        <v>Prepaid</v>
      </c>
    </row>
    <row r="343" spans="1:30" x14ac:dyDescent="0.3">
      <c r="A343" s="1" t="s">
        <v>1460</v>
      </c>
      <c r="B343" s="2">
        <v>45656</v>
      </c>
      <c r="C343" s="1" t="s">
        <v>1461</v>
      </c>
      <c r="D343" s="1" t="s">
        <v>25</v>
      </c>
      <c r="E343" s="1" t="s">
        <v>1462</v>
      </c>
      <c r="F343" s="1" t="s">
        <v>54</v>
      </c>
      <c r="G343" s="1" t="s">
        <v>1463</v>
      </c>
      <c r="H343">
        <v>2099</v>
      </c>
      <c r="I343">
        <v>1</v>
      </c>
      <c r="J343">
        <v>2099</v>
      </c>
      <c r="K343" s="1" t="s">
        <v>29</v>
      </c>
      <c r="L343">
        <v>0</v>
      </c>
      <c r="M343" s="1" t="s">
        <v>30</v>
      </c>
      <c r="N343" s="1" t="s">
        <v>66</v>
      </c>
      <c r="O343" s="1" t="s">
        <v>57</v>
      </c>
      <c r="P343" s="1" t="s">
        <v>58</v>
      </c>
      <c r="Q343" s="1" t="s">
        <v>57</v>
      </c>
      <c r="R343" s="2">
        <v>45683</v>
      </c>
      <c r="S343" s="1" t="s">
        <v>34</v>
      </c>
      <c r="T343" s="1" t="s">
        <v>35</v>
      </c>
      <c r="U343" s="1" t="s">
        <v>29</v>
      </c>
      <c r="W343" s="1" t="s">
        <v>36</v>
      </c>
      <c r="X343" s="1" t="str">
        <f>IF(urbanthreads_q4[[#This Row],[Qty]]&gt;0,"Valid","Invalid")</f>
        <v>Valid</v>
      </c>
      <c r="Y343" s="1">
        <f>urbanthreads_q4[[#This Row],[Total]]*urbanthreads_q4[[#This Row],[Disc %]]/100</f>
        <v>0</v>
      </c>
      <c r="Z343" s="1">
        <f>urbanthreads_q4[[#This Row],[Total]]-urbanthreads_q4[[#This Row],[Disc %]]</f>
        <v>2099</v>
      </c>
      <c r="AA343" s="1">
        <f>urbanthreads_q4[[#This Row],[Net revenue]]/urbanthreads_q4[[#This Row],[Total]]</f>
        <v>1</v>
      </c>
      <c r="AB343" s="1" t="str">
        <f>TEXT(urbanthreads_q4[[#This Row],[Order Date]],"mm-yyyy")</f>
        <v>12-2024</v>
      </c>
      <c r="AC343" s="1" t="str">
        <f>YEAR(urbanthreads_q4[[#This Row],[Order Date]]) &amp; "-W" &amp; WEEKNUM(urbanthreads_q4[[#This Row],[Order Date]], 2)</f>
        <v>2024-W53</v>
      </c>
      <c r="AD343" s="1" t="str">
        <f>IF(urbanthreads_q4[[#This Row],[Payment]]="COD","COD","Prepaid")</f>
        <v>Prepaid</v>
      </c>
    </row>
    <row r="344" spans="1:30" x14ac:dyDescent="0.3">
      <c r="A344" s="1" t="s">
        <v>168</v>
      </c>
      <c r="B344" s="2">
        <v>45570</v>
      </c>
      <c r="C344" s="1" t="s">
        <v>169</v>
      </c>
      <c r="D344" s="1" t="s">
        <v>39</v>
      </c>
      <c r="E344" s="1" t="s">
        <v>170</v>
      </c>
      <c r="F344" s="1" t="s">
        <v>41</v>
      </c>
      <c r="G344" s="1" t="s">
        <v>171</v>
      </c>
      <c r="H344">
        <v>2399</v>
      </c>
      <c r="I344">
        <v>1</v>
      </c>
      <c r="J344">
        <v>2399</v>
      </c>
      <c r="K344" s="1" t="s">
        <v>29</v>
      </c>
      <c r="L344">
        <v>0</v>
      </c>
      <c r="M344" s="1" t="s">
        <v>44</v>
      </c>
      <c r="N344" s="1" t="s">
        <v>31</v>
      </c>
      <c r="O344" s="1" t="s">
        <v>172</v>
      </c>
      <c r="P344" s="1" t="s">
        <v>33</v>
      </c>
      <c r="Q344" s="1" t="s">
        <v>32</v>
      </c>
      <c r="R344" s="2">
        <v>45581</v>
      </c>
      <c r="S344" s="1" t="s">
        <v>34</v>
      </c>
      <c r="T344" s="1" t="s">
        <v>47</v>
      </c>
      <c r="U344" s="1" t="s">
        <v>69</v>
      </c>
      <c r="V344" s="2">
        <v>45598</v>
      </c>
      <c r="W344" s="1" t="s">
        <v>49</v>
      </c>
      <c r="X344" s="1" t="str">
        <f>IF(urbanthreads_q4[[#This Row],[Qty]]&gt;0,"Valid","Invalid")</f>
        <v>Valid</v>
      </c>
      <c r="Y344" s="1">
        <f>urbanthreads_q4[[#This Row],[Total]]*urbanthreads_q4[[#This Row],[Disc %]]/100</f>
        <v>0</v>
      </c>
      <c r="Z344" s="1">
        <f>urbanthreads_q4[[#This Row],[Total]]-urbanthreads_q4[[#This Row],[Disc %]]</f>
        <v>2399</v>
      </c>
      <c r="AA344" s="1">
        <f>urbanthreads_q4[[#This Row],[Net revenue]]/urbanthreads_q4[[#This Row],[Total]]</f>
        <v>1</v>
      </c>
      <c r="AB344" s="1" t="str">
        <f>TEXT(urbanthreads_q4[[#This Row],[Order Date]],"mm-yyyy")</f>
        <v>10-2024</v>
      </c>
      <c r="AC344" s="1" t="str">
        <f>YEAR(urbanthreads_q4[[#This Row],[Order Date]]) &amp; "-W" &amp; WEEKNUM(urbanthreads_q4[[#This Row],[Order Date]], 2)</f>
        <v>2024-W40</v>
      </c>
      <c r="AD344" s="1" t="str">
        <f>IF(urbanthreads_q4[[#This Row],[Payment]]="COD","COD","Prepaid")</f>
        <v>Prepaid</v>
      </c>
    </row>
    <row r="345" spans="1:30" x14ac:dyDescent="0.3">
      <c r="A345" s="1" t="s">
        <v>1468</v>
      </c>
      <c r="B345" s="2">
        <v>45656</v>
      </c>
      <c r="C345" s="1" t="s">
        <v>1469</v>
      </c>
      <c r="D345" s="1" t="s">
        <v>39</v>
      </c>
      <c r="E345" s="1" t="s">
        <v>1470</v>
      </c>
      <c r="F345" s="1" t="s">
        <v>72</v>
      </c>
      <c r="G345" s="1" t="s">
        <v>1471</v>
      </c>
      <c r="H345">
        <v>599</v>
      </c>
      <c r="I345">
        <v>3</v>
      </c>
      <c r="J345">
        <v>1797</v>
      </c>
      <c r="K345" s="1" t="s">
        <v>29</v>
      </c>
      <c r="L345">
        <v>0</v>
      </c>
      <c r="M345" s="1" t="s">
        <v>112</v>
      </c>
      <c r="N345" s="1" t="s">
        <v>45</v>
      </c>
      <c r="O345" s="1" t="s">
        <v>46</v>
      </c>
      <c r="P345" s="1" t="s">
        <v>46</v>
      </c>
      <c r="Q345" s="1" t="s">
        <v>46</v>
      </c>
      <c r="R345" s="2">
        <v>45683</v>
      </c>
      <c r="S345" s="1" t="s">
        <v>34</v>
      </c>
      <c r="T345" s="1" t="s">
        <v>35</v>
      </c>
      <c r="U345" s="1" t="s">
        <v>29</v>
      </c>
      <c r="W345" s="1" t="s">
        <v>36</v>
      </c>
      <c r="X345" s="1" t="str">
        <f>IF(urbanthreads_q4[[#This Row],[Qty]]&gt;0,"Valid","Invalid")</f>
        <v>Valid</v>
      </c>
      <c r="Y345" s="1">
        <f>urbanthreads_q4[[#This Row],[Total]]*urbanthreads_q4[[#This Row],[Disc %]]/100</f>
        <v>0</v>
      </c>
      <c r="Z345" s="1">
        <f>urbanthreads_q4[[#This Row],[Total]]-urbanthreads_q4[[#This Row],[Disc %]]</f>
        <v>1797</v>
      </c>
      <c r="AA345" s="1">
        <f>urbanthreads_q4[[#This Row],[Net revenue]]/urbanthreads_q4[[#This Row],[Total]]</f>
        <v>1</v>
      </c>
      <c r="AB345" s="1" t="str">
        <f>TEXT(urbanthreads_q4[[#This Row],[Order Date]],"mm-yyyy")</f>
        <v>12-2024</v>
      </c>
      <c r="AC345" s="1" t="str">
        <f>YEAR(urbanthreads_q4[[#This Row],[Order Date]]) &amp; "-W" &amp; WEEKNUM(urbanthreads_q4[[#This Row],[Order Date]], 2)</f>
        <v>2024-W53</v>
      </c>
      <c r="AD345" s="1" t="str">
        <f>IF(urbanthreads_q4[[#This Row],[Payment]]="COD","COD","Prepaid")</f>
        <v>Prepaid</v>
      </c>
    </row>
    <row r="346" spans="1:30" x14ac:dyDescent="0.3">
      <c r="A346" s="1" t="s">
        <v>178</v>
      </c>
      <c r="B346" s="2">
        <v>45571</v>
      </c>
      <c r="C346" s="1" t="s">
        <v>179</v>
      </c>
      <c r="D346" s="1" t="s">
        <v>25</v>
      </c>
      <c r="E346" s="1" t="s">
        <v>180</v>
      </c>
      <c r="F346" s="1" t="s">
        <v>54</v>
      </c>
      <c r="G346" s="1" t="s">
        <v>181</v>
      </c>
      <c r="H346">
        <v>1199</v>
      </c>
      <c r="I346">
        <v>3</v>
      </c>
      <c r="J346">
        <v>3597</v>
      </c>
      <c r="K346" s="1" t="s">
        <v>29</v>
      </c>
      <c r="L346">
        <v>0</v>
      </c>
      <c r="M346" s="1" t="s">
        <v>56</v>
      </c>
      <c r="N346" s="1" t="s">
        <v>66</v>
      </c>
      <c r="O346" s="1" t="s">
        <v>182</v>
      </c>
      <c r="P346" s="1" t="s">
        <v>183</v>
      </c>
      <c r="Q346" s="1" t="s">
        <v>57</v>
      </c>
      <c r="R346" s="2">
        <v>45583</v>
      </c>
      <c r="S346" s="1" t="s">
        <v>34</v>
      </c>
      <c r="T346" s="1" t="s">
        <v>47</v>
      </c>
      <c r="U346" s="1" t="s">
        <v>80</v>
      </c>
      <c r="V346" s="2">
        <v>45601</v>
      </c>
      <c r="W346" s="1" t="s">
        <v>49</v>
      </c>
      <c r="X346" s="1" t="str">
        <f>IF(urbanthreads_q4[[#This Row],[Qty]]&gt;0,"Valid","Invalid")</f>
        <v>Valid</v>
      </c>
      <c r="Y346" s="1">
        <f>urbanthreads_q4[[#This Row],[Total]]*urbanthreads_q4[[#This Row],[Disc %]]/100</f>
        <v>0</v>
      </c>
      <c r="Z346" s="1">
        <f>urbanthreads_q4[[#This Row],[Total]]-urbanthreads_q4[[#This Row],[Disc %]]</f>
        <v>3597</v>
      </c>
      <c r="AA346" s="1">
        <f>urbanthreads_q4[[#This Row],[Net revenue]]/urbanthreads_q4[[#This Row],[Total]]</f>
        <v>1</v>
      </c>
      <c r="AB346" s="1" t="str">
        <f>TEXT(urbanthreads_q4[[#This Row],[Order Date]],"mm-yyyy")</f>
        <v>10-2024</v>
      </c>
      <c r="AC346" s="1" t="str">
        <f>YEAR(urbanthreads_q4[[#This Row],[Order Date]]) &amp; "-W" &amp; WEEKNUM(urbanthreads_q4[[#This Row],[Order Date]], 2)</f>
        <v>2024-W40</v>
      </c>
      <c r="AD346" s="1" t="str">
        <f>IF(urbanthreads_q4[[#This Row],[Payment]]="COD","COD","Prepaid")</f>
        <v>COD</v>
      </c>
    </row>
    <row r="347" spans="1:30" x14ac:dyDescent="0.3">
      <c r="A347" s="1" t="s">
        <v>195</v>
      </c>
      <c r="B347" s="2">
        <v>45571</v>
      </c>
      <c r="C347" s="1" t="s">
        <v>196</v>
      </c>
      <c r="D347" s="1" t="s">
        <v>39</v>
      </c>
      <c r="E347" s="1" t="s">
        <v>197</v>
      </c>
      <c r="F347" s="1" t="s">
        <v>62</v>
      </c>
      <c r="G347" s="1" t="s">
        <v>198</v>
      </c>
      <c r="H347">
        <v>4599</v>
      </c>
      <c r="I347">
        <v>1</v>
      </c>
      <c r="J347">
        <v>4599</v>
      </c>
      <c r="K347" s="1" t="s">
        <v>111</v>
      </c>
      <c r="L347">
        <v>10</v>
      </c>
      <c r="M347" s="1" t="s">
        <v>65</v>
      </c>
      <c r="N347" s="1" t="s">
        <v>31</v>
      </c>
      <c r="O347" s="1" t="s">
        <v>199</v>
      </c>
      <c r="P347" s="1" t="s">
        <v>58</v>
      </c>
      <c r="Q347" s="1" t="s">
        <v>57</v>
      </c>
      <c r="R347" s="2">
        <v>45584</v>
      </c>
      <c r="S347" s="1" t="s">
        <v>34</v>
      </c>
      <c r="T347" s="1" t="s">
        <v>47</v>
      </c>
      <c r="U347" s="1" t="s">
        <v>48</v>
      </c>
      <c r="V347" s="2">
        <v>45604</v>
      </c>
      <c r="W347" s="1" t="s">
        <v>49</v>
      </c>
      <c r="X347" s="1" t="str">
        <f>IF(urbanthreads_q4[[#This Row],[Qty]]&gt;0,"Valid","Invalid")</f>
        <v>Valid</v>
      </c>
      <c r="Y347" s="1">
        <f>urbanthreads_q4[[#This Row],[Total]]*urbanthreads_q4[[#This Row],[Disc %]]/100</f>
        <v>459.9</v>
      </c>
      <c r="Z347" s="1">
        <f>urbanthreads_q4[[#This Row],[Total]]-urbanthreads_q4[[#This Row],[Disc %]]</f>
        <v>4589</v>
      </c>
      <c r="AA347" s="1">
        <f>urbanthreads_q4[[#This Row],[Net revenue]]/urbanthreads_q4[[#This Row],[Total]]</f>
        <v>0.99782561426397043</v>
      </c>
      <c r="AB347" s="1" t="str">
        <f>TEXT(urbanthreads_q4[[#This Row],[Order Date]],"mm-yyyy")</f>
        <v>10-2024</v>
      </c>
      <c r="AC347" s="1" t="str">
        <f>YEAR(urbanthreads_q4[[#This Row],[Order Date]]) &amp; "-W" &amp; WEEKNUM(urbanthreads_q4[[#This Row],[Order Date]], 2)</f>
        <v>2024-W40</v>
      </c>
      <c r="AD347" s="1" t="str">
        <f>IF(urbanthreads_q4[[#This Row],[Payment]]="COD","COD","Prepaid")</f>
        <v>Prepaid</v>
      </c>
    </row>
    <row r="354" spans="6:10" x14ac:dyDescent="0.3">
      <c r="F354" s="3" t="s">
        <v>19</v>
      </c>
      <c r="G354" t="s">
        <v>47</v>
      </c>
    </row>
    <row r="355" spans="6:10" x14ac:dyDescent="0.3">
      <c r="F355" s="3" t="s">
        <v>18</v>
      </c>
      <c r="G355" t="s">
        <v>34</v>
      </c>
    </row>
    <row r="357" spans="6:10" x14ac:dyDescent="0.3">
      <c r="F357" s="3" t="s">
        <v>1518</v>
      </c>
      <c r="G357" s="3" t="s">
        <v>1702</v>
      </c>
    </row>
    <row r="358" spans="6:10" x14ac:dyDescent="0.3">
      <c r="F358" s="3" t="s">
        <v>1519</v>
      </c>
      <c r="G358" t="s">
        <v>66</v>
      </c>
      <c r="H358" t="s">
        <v>45</v>
      </c>
      <c r="I358" t="s">
        <v>31</v>
      </c>
      <c r="J358" t="s">
        <v>1520</v>
      </c>
    </row>
    <row r="359" spans="6:10" x14ac:dyDescent="0.3">
      <c r="F359" s="4" t="s">
        <v>25</v>
      </c>
      <c r="G359" s="1">
        <v>63</v>
      </c>
      <c r="H359" s="1">
        <v>46</v>
      </c>
      <c r="I359" s="1">
        <v>38</v>
      </c>
      <c r="J359" s="1">
        <v>147</v>
      </c>
    </row>
    <row r="360" spans="6:10" x14ac:dyDescent="0.3">
      <c r="F360" s="4" t="s">
        <v>39</v>
      </c>
      <c r="G360" s="1">
        <v>8</v>
      </c>
      <c r="H360" s="1">
        <v>15</v>
      </c>
      <c r="I360" s="1">
        <v>10</v>
      </c>
      <c r="J360" s="1">
        <v>33</v>
      </c>
    </row>
    <row r="361" spans="6:10" x14ac:dyDescent="0.3">
      <c r="F361" s="4" t="s">
        <v>1520</v>
      </c>
      <c r="G361" s="1">
        <v>71</v>
      </c>
      <c r="H361" s="1">
        <v>61</v>
      </c>
      <c r="I361" s="1">
        <v>48</v>
      </c>
      <c r="J361" s="1">
        <v>180</v>
      </c>
    </row>
  </sheetData>
  <conditionalFormatting sqref="A1:A349 A368:A1048576 F357">
    <cfRule type="duplicateValues" dxfId="1" priority="1"/>
    <cfRule type="duplicateValues" dxfId="0" priority="2"/>
  </conditionalFormatting>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41E7-3379-4817-8150-67CA2FC576F5}">
  <dimension ref="A1:F9"/>
  <sheetViews>
    <sheetView workbookViewId="0">
      <selection sqref="A1:F1"/>
    </sheetView>
  </sheetViews>
  <sheetFormatPr defaultRowHeight="14.4" x14ac:dyDescent="0.3"/>
  <cols>
    <col min="1" max="1" width="18.33203125" bestFit="1" customWidth="1"/>
    <col min="2" max="2" width="18" bestFit="1" customWidth="1"/>
    <col min="3" max="3" width="30.5546875" bestFit="1" customWidth="1"/>
    <col min="4" max="4" width="44.33203125" bestFit="1" customWidth="1"/>
    <col min="5" max="5" width="15.21875" bestFit="1" customWidth="1"/>
    <col min="6" max="6" width="42.5546875" bestFit="1" customWidth="1"/>
  </cols>
  <sheetData>
    <row r="1" spans="1:6" x14ac:dyDescent="0.3">
      <c r="A1" s="20" t="s">
        <v>1479</v>
      </c>
      <c r="B1" s="20" t="s">
        <v>1480</v>
      </c>
      <c r="C1" s="20" t="s">
        <v>1481</v>
      </c>
      <c r="D1" s="20" t="s">
        <v>1482</v>
      </c>
      <c r="E1" s="20" t="s">
        <v>1483</v>
      </c>
      <c r="F1" s="20" t="s">
        <v>1484</v>
      </c>
    </row>
    <row r="2" spans="1:6" x14ac:dyDescent="0.3">
      <c r="A2" s="21" t="s">
        <v>1485</v>
      </c>
      <c r="B2" s="21" t="s">
        <v>1486</v>
      </c>
      <c r="C2" s="21" t="s">
        <v>1487</v>
      </c>
      <c r="D2" s="21" t="s">
        <v>1488</v>
      </c>
      <c r="E2" s="21" t="s">
        <v>1489</v>
      </c>
      <c r="F2" s="21" t="s">
        <v>1490</v>
      </c>
    </row>
    <row r="3" spans="1:6" x14ac:dyDescent="0.3">
      <c r="A3" s="21" t="s">
        <v>1485</v>
      </c>
      <c r="B3" s="21" t="s">
        <v>1491</v>
      </c>
      <c r="C3" s="21" t="s">
        <v>1487</v>
      </c>
      <c r="D3" s="21" t="s">
        <v>1492</v>
      </c>
      <c r="E3" s="21" t="s">
        <v>1493</v>
      </c>
      <c r="F3" s="21" t="s">
        <v>1490</v>
      </c>
    </row>
    <row r="4" spans="1:6" x14ac:dyDescent="0.3">
      <c r="A4" s="21" t="s">
        <v>1485</v>
      </c>
      <c r="B4" s="21" t="s">
        <v>1494</v>
      </c>
      <c r="C4" s="21" t="s">
        <v>1487</v>
      </c>
      <c r="D4" s="21" t="s">
        <v>1495</v>
      </c>
      <c r="E4" s="21" t="s">
        <v>1493</v>
      </c>
      <c r="F4" s="21" t="s">
        <v>1490</v>
      </c>
    </row>
    <row r="5" spans="1:6" x14ac:dyDescent="0.3">
      <c r="A5" s="21" t="s">
        <v>1496</v>
      </c>
      <c r="B5" s="21" t="s">
        <v>0</v>
      </c>
      <c r="C5" s="21" t="s">
        <v>1497</v>
      </c>
      <c r="D5" s="21" t="s">
        <v>1498</v>
      </c>
      <c r="E5" s="21" t="s">
        <v>1493</v>
      </c>
      <c r="F5" s="21" t="s">
        <v>1499</v>
      </c>
    </row>
    <row r="6" spans="1:6" x14ac:dyDescent="0.3">
      <c r="A6" s="21" t="s">
        <v>1500</v>
      </c>
      <c r="B6" s="21" t="s">
        <v>1501</v>
      </c>
      <c r="C6" s="21" t="s">
        <v>1502</v>
      </c>
      <c r="D6" s="21" t="s">
        <v>1503</v>
      </c>
      <c r="E6" s="21" t="s">
        <v>1504</v>
      </c>
      <c r="F6" s="21" t="s">
        <v>1505</v>
      </c>
    </row>
    <row r="7" spans="1:6" x14ac:dyDescent="0.3">
      <c r="A7" s="21" t="s">
        <v>1506</v>
      </c>
      <c r="B7" s="21" t="s">
        <v>1507</v>
      </c>
      <c r="C7" s="21" t="s">
        <v>1508</v>
      </c>
      <c r="D7" s="21" t="s">
        <v>1509</v>
      </c>
      <c r="E7" s="21" t="s">
        <v>1493</v>
      </c>
      <c r="F7" s="21" t="s">
        <v>1510</v>
      </c>
    </row>
    <row r="8" spans="1:6" x14ac:dyDescent="0.3">
      <c r="A8" s="21" t="s">
        <v>1511</v>
      </c>
      <c r="B8" s="21" t="s">
        <v>1512</v>
      </c>
      <c r="C8" s="21">
        <v>-1</v>
      </c>
      <c r="D8" s="21" t="s">
        <v>1513</v>
      </c>
      <c r="E8" s="21" t="s">
        <v>1504</v>
      </c>
      <c r="F8" s="21" t="s">
        <v>1514</v>
      </c>
    </row>
    <row r="9" spans="1:6" x14ac:dyDescent="0.3">
      <c r="A9" t="s">
        <v>1516</v>
      </c>
      <c r="B9" t="s">
        <v>1512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EA0BA-6417-42D0-A35E-46AC8A379692}">
  <dimension ref="A1:D11"/>
  <sheetViews>
    <sheetView workbookViewId="0">
      <selection activeCell="G4" sqref="G4"/>
    </sheetView>
  </sheetViews>
  <sheetFormatPr defaultRowHeight="14.4" x14ac:dyDescent="0.3"/>
  <cols>
    <col min="1" max="1" width="6.5546875" bestFit="1" customWidth="1"/>
    <col min="2" max="2" width="22.6640625" bestFit="1" customWidth="1"/>
    <col min="4" max="4" width="21.33203125" bestFit="1" customWidth="1"/>
  </cols>
  <sheetData>
    <row r="1" spans="1:4" x14ac:dyDescent="0.3">
      <c r="A1" s="8" t="s">
        <v>1517</v>
      </c>
      <c r="B1" s="9" t="s">
        <v>1538</v>
      </c>
      <c r="C1" s="9" t="s">
        <v>1539</v>
      </c>
      <c r="D1" s="9" t="s">
        <v>1540</v>
      </c>
    </row>
    <row r="2" spans="1:4" x14ac:dyDescent="0.3">
      <c r="A2" s="7" t="s">
        <v>1541</v>
      </c>
      <c r="B2" s="7" t="s">
        <v>1542</v>
      </c>
      <c r="C2" s="7" t="s">
        <v>1543</v>
      </c>
      <c r="D2" s="7" t="s">
        <v>1544</v>
      </c>
    </row>
    <row r="3" spans="1:4" x14ac:dyDescent="0.3">
      <c r="A3" s="7" t="s">
        <v>1545</v>
      </c>
      <c r="B3" s="7" t="s">
        <v>1546</v>
      </c>
      <c r="C3" s="7" t="s">
        <v>1543</v>
      </c>
      <c r="D3" s="7" t="s">
        <v>1547</v>
      </c>
    </row>
    <row r="4" spans="1:4" x14ac:dyDescent="0.3">
      <c r="A4" s="7" t="s">
        <v>1548</v>
      </c>
      <c r="B4" s="7" t="s">
        <v>1549</v>
      </c>
      <c r="C4" s="7" t="s">
        <v>1550</v>
      </c>
      <c r="D4" s="7" t="s">
        <v>1551</v>
      </c>
    </row>
    <row r="5" spans="1:4" x14ac:dyDescent="0.3">
      <c r="A5" s="7" t="s">
        <v>1552</v>
      </c>
      <c r="B5" s="7" t="s">
        <v>1553</v>
      </c>
      <c r="C5" s="7" t="s">
        <v>1543</v>
      </c>
      <c r="D5" s="7" t="s">
        <v>1554</v>
      </c>
    </row>
    <row r="6" spans="1:4" x14ac:dyDescent="0.3">
      <c r="A6" s="7" t="s">
        <v>1555</v>
      </c>
      <c r="B6" s="7" t="s">
        <v>1556</v>
      </c>
      <c r="C6" s="7" t="s">
        <v>1543</v>
      </c>
      <c r="D6" s="7" t="s">
        <v>1557</v>
      </c>
    </row>
    <row r="7" spans="1:4" x14ac:dyDescent="0.3">
      <c r="A7" s="7" t="s">
        <v>1558</v>
      </c>
      <c r="B7" s="7" t="s">
        <v>1559</v>
      </c>
      <c r="C7" s="7" t="s">
        <v>1543</v>
      </c>
      <c r="D7" s="7" t="s">
        <v>1560</v>
      </c>
    </row>
    <row r="8" spans="1:4" x14ac:dyDescent="0.3">
      <c r="A8" s="7" t="s">
        <v>1561</v>
      </c>
      <c r="B8" s="7" t="s">
        <v>1562</v>
      </c>
      <c r="C8" s="7" t="s">
        <v>1543</v>
      </c>
      <c r="D8" s="7" t="s">
        <v>1563</v>
      </c>
    </row>
    <row r="9" spans="1:4" x14ac:dyDescent="0.3">
      <c r="A9" s="7" t="s">
        <v>1564</v>
      </c>
      <c r="B9" s="7" t="s">
        <v>1565</v>
      </c>
      <c r="C9" s="7" t="s">
        <v>1543</v>
      </c>
      <c r="D9" s="7" t="s">
        <v>1566</v>
      </c>
    </row>
    <row r="10" spans="1:4" x14ac:dyDescent="0.3">
      <c r="A10" s="7" t="s">
        <v>1567</v>
      </c>
      <c r="B10" s="7" t="s">
        <v>1568</v>
      </c>
      <c r="C10" s="7" t="s">
        <v>1543</v>
      </c>
      <c r="D10" s="7" t="s">
        <v>1569</v>
      </c>
    </row>
    <row r="11" spans="1:4" x14ac:dyDescent="0.3">
      <c r="A11" s="7" t="s">
        <v>1570</v>
      </c>
      <c r="B11" s="7" t="s">
        <v>1571</v>
      </c>
      <c r="C11" s="7" t="s">
        <v>1543</v>
      </c>
      <c r="D11" s="7" t="s">
        <v>1572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40F2A-5F16-4CD4-ADA8-BECBDB23EBAC}">
  <dimension ref="A3:P237"/>
  <sheetViews>
    <sheetView topLeftCell="A150" zoomScale="70" zoomScaleNormal="70" workbookViewId="0">
      <selection activeCell="H213" sqref="H213:J216"/>
    </sheetView>
  </sheetViews>
  <sheetFormatPr defaultRowHeight="14.4" x14ac:dyDescent="0.3"/>
  <cols>
    <col min="1" max="1" width="13.88671875" bestFit="1" customWidth="1"/>
    <col min="2" max="2" width="16.109375" bestFit="1" customWidth="1"/>
    <col min="3" max="3" width="17.109375" bestFit="1" customWidth="1"/>
    <col min="4" max="4" width="10.77734375" bestFit="1" customWidth="1"/>
    <col min="5" max="5" width="8.21875" bestFit="1" customWidth="1"/>
    <col min="6" max="6" width="10.77734375" bestFit="1" customWidth="1"/>
    <col min="7" max="7" width="12.33203125" bestFit="1" customWidth="1"/>
    <col min="8" max="8" width="20.5546875" bestFit="1" customWidth="1"/>
    <col min="9" max="9" width="20.88671875" bestFit="1" customWidth="1"/>
    <col min="10" max="10" width="16.33203125" bestFit="1" customWidth="1"/>
    <col min="11" max="11" width="24.44140625" bestFit="1" customWidth="1"/>
    <col min="12" max="12" width="51.33203125" bestFit="1" customWidth="1"/>
    <col min="13" max="13" width="11.88671875" bestFit="1" customWidth="1"/>
    <col min="15" max="15" width="51.5546875" bestFit="1" customWidth="1"/>
    <col min="16" max="16" width="11.88671875" bestFit="1" customWidth="1"/>
  </cols>
  <sheetData>
    <row r="3" spans="1:6" x14ac:dyDescent="0.3">
      <c r="A3" s="3" t="s">
        <v>1519</v>
      </c>
      <c r="B3" t="s">
        <v>1518</v>
      </c>
      <c r="D3" s="3" t="s">
        <v>1519</v>
      </c>
      <c r="E3" t="s">
        <v>1526</v>
      </c>
    </row>
    <row r="4" spans="1:6" x14ac:dyDescent="0.3">
      <c r="A4" s="4" t="s">
        <v>1521</v>
      </c>
      <c r="B4" s="1">
        <v>345</v>
      </c>
      <c r="D4" s="4" t="s">
        <v>1521</v>
      </c>
      <c r="E4" s="1">
        <v>114181.65</v>
      </c>
    </row>
    <row r="5" spans="1:6" x14ac:dyDescent="0.3">
      <c r="A5" s="4" t="s">
        <v>1520</v>
      </c>
      <c r="B5" s="1">
        <v>345</v>
      </c>
      <c r="D5" s="4" t="s">
        <v>1520</v>
      </c>
      <c r="E5" s="1">
        <v>114181.65</v>
      </c>
    </row>
    <row r="7" spans="1:6" x14ac:dyDescent="0.3">
      <c r="A7" s="3" t="s">
        <v>1519</v>
      </c>
      <c r="B7" t="s">
        <v>1522</v>
      </c>
    </row>
    <row r="8" spans="1:6" x14ac:dyDescent="0.3">
      <c r="A8" s="4" t="s">
        <v>1521</v>
      </c>
      <c r="B8" s="1">
        <v>410</v>
      </c>
      <c r="D8" s="3" t="s">
        <v>1519</v>
      </c>
      <c r="E8" t="s">
        <v>1518</v>
      </c>
    </row>
    <row r="9" spans="1:6" x14ac:dyDescent="0.3">
      <c r="A9" s="4" t="s">
        <v>1520</v>
      </c>
      <c r="B9" s="1">
        <v>410</v>
      </c>
      <c r="D9" s="4" t="s">
        <v>1521</v>
      </c>
      <c r="E9" s="1"/>
    </row>
    <row r="10" spans="1:6" x14ac:dyDescent="0.3">
      <c r="D10" s="5" t="s">
        <v>34</v>
      </c>
      <c r="E10" s="1">
        <v>327</v>
      </c>
    </row>
    <row r="11" spans="1:6" x14ac:dyDescent="0.3">
      <c r="A11" s="3" t="s">
        <v>1519</v>
      </c>
      <c r="B11" t="s">
        <v>1523</v>
      </c>
      <c r="D11" s="4" t="s">
        <v>1520</v>
      </c>
      <c r="E11" s="1">
        <v>327</v>
      </c>
    </row>
    <row r="12" spans="1:6" x14ac:dyDescent="0.3">
      <c r="A12" s="4" t="s">
        <v>1521</v>
      </c>
      <c r="B12" s="1">
        <v>1018790</v>
      </c>
    </row>
    <row r="13" spans="1:6" x14ac:dyDescent="0.3">
      <c r="A13" s="4" t="s">
        <v>1520</v>
      </c>
      <c r="B13" s="1">
        <v>1018790</v>
      </c>
      <c r="D13" t="s">
        <v>1528</v>
      </c>
      <c r="E13">
        <f>COUNTIFS(urbanthreads_q4[Status],"Delivered")</f>
        <v>328</v>
      </c>
      <c r="F13" t="s">
        <v>1537</v>
      </c>
    </row>
    <row r="14" spans="1:6" x14ac:dyDescent="0.3">
      <c r="D14" t="s">
        <v>1529</v>
      </c>
      <c r="E14">
        <f>COUNTIFS(
  urbanthreads_q4[Status], "Delivered",
  urbanthreads_q4[Return?], "Yes"
)</f>
        <v>180</v>
      </c>
    </row>
    <row r="15" spans="1:6" x14ac:dyDescent="0.3">
      <c r="D15" t="s">
        <v>1530</v>
      </c>
      <c r="E15" s="6">
        <f>E14/E13</f>
        <v>0.54878048780487809</v>
      </c>
    </row>
    <row r="17" spans="4:11" x14ac:dyDescent="0.3">
      <c r="D17" s="3" t="s">
        <v>1519</v>
      </c>
      <c r="E17" t="s">
        <v>1518</v>
      </c>
      <c r="F17" t="s">
        <v>1536</v>
      </c>
    </row>
    <row r="18" spans="4:11" x14ac:dyDescent="0.3">
      <c r="D18" s="4" t="s">
        <v>1532</v>
      </c>
      <c r="E18" s="1">
        <v>1</v>
      </c>
    </row>
    <row r="19" spans="4:11" x14ac:dyDescent="0.3">
      <c r="D19" s="4" t="s">
        <v>1533</v>
      </c>
      <c r="E19" s="1">
        <v>131</v>
      </c>
    </row>
    <row r="20" spans="4:11" x14ac:dyDescent="0.3">
      <c r="D20" s="4" t="s">
        <v>1534</v>
      </c>
      <c r="E20" s="1">
        <v>93</v>
      </c>
    </row>
    <row r="21" spans="4:11" x14ac:dyDescent="0.3">
      <c r="D21" s="4" t="s">
        <v>1535</v>
      </c>
      <c r="E21" s="1">
        <v>121</v>
      </c>
      <c r="J21" s="3" t="s">
        <v>18</v>
      </c>
      <c r="K21" t="s">
        <v>34</v>
      </c>
    </row>
    <row r="22" spans="4:11" x14ac:dyDescent="0.3">
      <c r="D22" s="4" t="s">
        <v>1520</v>
      </c>
      <c r="E22" s="1">
        <v>346</v>
      </c>
      <c r="G22" s="3" t="s">
        <v>18</v>
      </c>
      <c r="H22" t="s">
        <v>34</v>
      </c>
      <c r="J22" s="3" t="s">
        <v>19</v>
      </c>
      <c r="K22" t="s">
        <v>47</v>
      </c>
    </row>
    <row r="23" spans="4:11" x14ac:dyDescent="0.3">
      <c r="D23" s="37" t="s">
        <v>1590</v>
      </c>
      <c r="E23" s="37"/>
      <c r="F23" s="37"/>
      <c r="G23" s="37"/>
      <c r="H23" s="37"/>
      <c r="I23" s="37"/>
      <c r="J23" s="37"/>
    </row>
    <row r="24" spans="4:11" x14ac:dyDescent="0.3">
      <c r="D24" s="3" t="s">
        <v>1668</v>
      </c>
      <c r="E24" t="s">
        <v>1669</v>
      </c>
      <c r="G24" s="3" t="s">
        <v>1668</v>
      </c>
      <c r="H24" t="s">
        <v>1591</v>
      </c>
      <c r="J24" s="3" t="s">
        <v>1668</v>
      </c>
      <c r="K24" t="s">
        <v>1529</v>
      </c>
    </row>
    <row r="25" spans="4:11" x14ac:dyDescent="0.3">
      <c r="D25" s="4" t="s">
        <v>1574</v>
      </c>
      <c r="E25" s="1">
        <v>1</v>
      </c>
      <c r="G25" s="4" t="s">
        <v>1574</v>
      </c>
      <c r="H25" s="1">
        <v>1</v>
      </c>
      <c r="J25" s="4" t="s">
        <v>1575</v>
      </c>
      <c r="K25" s="1">
        <v>11</v>
      </c>
    </row>
    <row r="26" spans="4:11" x14ac:dyDescent="0.3">
      <c r="D26" s="4" t="s">
        <v>1575</v>
      </c>
      <c r="E26" s="1">
        <v>26</v>
      </c>
      <c r="G26" s="4" t="s">
        <v>1575</v>
      </c>
      <c r="H26" s="1">
        <v>23</v>
      </c>
      <c r="J26" s="4" t="s">
        <v>1576</v>
      </c>
      <c r="K26" s="1">
        <v>11</v>
      </c>
    </row>
    <row r="27" spans="4:11" x14ac:dyDescent="0.3">
      <c r="D27" s="4" t="s">
        <v>1576</v>
      </c>
      <c r="E27" s="1">
        <v>29</v>
      </c>
      <c r="G27" s="4" t="s">
        <v>1576</v>
      </c>
      <c r="H27" s="1">
        <v>27</v>
      </c>
      <c r="J27" s="4" t="s">
        <v>1577</v>
      </c>
      <c r="K27" s="1">
        <v>13</v>
      </c>
    </row>
    <row r="28" spans="4:11" x14ac:dyDescent="0.3">
      <c r="D28" s="4" t="s">
        <v>1577</v>
      </c>
      <c r="E28" s="1">
        <v>28</v>
      </c>
      <c r="G28" s="4" t="s">
        <v>1577</v>
      </c>
      <c r="H28" s="1">
        <v>26</v>
      </c>
      <c r="J28" s="4" t="s">
        <v>1578</v>
      </c>
      <c r="K28" s="1">
        <v>10</v>
      </c>
    </row>
    <row r="29" spans="4:11" x14ac:dyDescent="0.3">
      <c r="D29" s="4" t="s">
        <v>1578</v>
      </c>
      <c r="E29" s="1">
        <v>27</v>
      </c>
      <c r="G29" s="4" t="s">
        <v>1578</v>
      </c>
      <c r="H29" s="1">
        <v>24</v>
      </c>
      <c r="J29" s="4" t="s">
        <v>1579</v>
      </c>
      <c r="K29" s="1">
        <v>24</v>
      </c>
    </row>
    <row r="30" spans="4:11" x14ac:dyDescent="0.3">
      <c r="D30" s="4" t="s">
        <v>1579</v>
      </c>
      <c r="E30" s="1">
        <v>33</v>
      </c>
      <c r="F30" t="s">
        <v>1589</v>
      </c>
      <c r="G30" s="4" t="s">
        <v>1579</v>
      </c>
      <c r="H30" s="1">
        <v>31</v>
      </c>
      <c r="J30" s="4" t="s">
        <v>1580</v>
      </c>
      <c r="K30" s="1">
        <v>11</v>
      </c>
    </row>
    <row r="31" spans="4:11" x14ac:dyDescent="0.3">
      <c r="D31" s="4" t="s">
        <v>1580</v>
      </c>
      <c r="E31" s="1">
        <v>21</v>
      </c>
      <c r="G31" s="4" t="s">
        <v>1580</v>
      </c>
      <c r="H31" s="1">
        <v>20</v>
      </c>
      <c r="J31" s="4" t="s">
        <v>1581</v>
      </c>
      <c r="K31" s="1">
        <v>12</v>
      </c>
    </row>
    <row r="32" spans="4:11" x14ac:dyDescent="0.3">
      <c r="D32" s="4" t="s">
        <v>1581</v>
      </c>
      <c r="E32" s="1">
        <v>21</v>
      </c>
      <c r="G32" s="4" t="s">
        <v>1581</v>
      </c>
      <c r="H32" s="1">
        <v>20</v>
      </c>
      <c r="J32" s="4" t="s">
        <v>1582</v>
      </c>
      <c r="K32" s="1">
        <v>11</v>
      </c>
    </row>
    <row r="33" spans="4:12" x14ac:dyDescent="0.3">
      <c r="D33" s="4" t="s">
        <v>1582</v>
      </c>
      <c r="E33" s="1">
        <v>21</v>
      </c>
      <c r="G33" s="4" t="s">
        <v>1582</v>
      </c>
      <c r="H33" s="1">
        <v>20</v>
      </c>
      <c r="J33" s="4" t="s">
        <v>1583</v>
      </c>
      <c r="K33" s="1">
        <v>13</v>
      </c>
    </row>
    <row r="34" spans="4:12" x14ac:dyDescent="0.3">
      <c r="D34" s="4" t="s">
        <v>1583</v>
      </c>
      <c r="E34" s="1">
        <v>22</v>
      </c>
      <c r="G34" s="4" t="s">
        <v>1583</v>
      </c>
      <c r="H34" s="1">
        <v>21</v>
      </c>
      <c r="J34" s="4" t="s">
        <v>1584</v>
      </c>
      <c r="K34" s="1">
        <v>11</v>
      </c>
    </row>
    <row r="35" spans="4:12" x14ac:dyDescent="0.3">
      <c r="D35" s="4" t="s">
        <v>1584</v>
      </c>
      <c r="E35" s="1">
        <v>28</v>
      </c>
      <c r="G35" s="4" t="s">
        <v>1584</v>
      </c>
      <c r="H35" s="1">
        <v>27</v>
      </c>
      <c r="J35" s="4" t="s">
        <v>1585</v>
      </c>
      <c r="K35" s="1">
        <v>16</v>
      </c>
    </row>
    <row r="36" spans="4:12" x14ac:dyDescent="0.3">
      <c r="D36" s="4" t="s">
        <v>1585</v>
      </c>
      <c r="E36" s="1">
        <v>28</v>
      </c>
      <c r="G36" s="4" t="s">
        <v>1585</v>
      </c>
      <c r="H36" s="1">
        <v>27</v>
      </c>
      <c r="J36" s="4" t="s">
        <v>1586</v>
      </c>
      <c r="K36" s="1">
        <v>17</v>
      </c>
    </row>
    <row r="37" spans="4:12" x14ac:dyDescent="0.3">
      <c r="D37" s="4" t="s">
        <v>1586</v>
      </c>
      <c r="E37" s="1">
        <v>28</v>
      </c>
      <c r="G37" s="4" t="s">
        <v>1586</v>
      </c>
      <c r="H37" s="1">
        <v>28</v>
      </c>
      <c r="J37" s="4" t="s">
        <v>1587</v>
      </c>
      <c r="K37" s="1">
        <v>17</v>
      </c>
    </row>
    <row r="38" spans="4:12" x14ac:dyDescent="0.3">
      <c r="D38" s="4" t="s">
        <v>1587</v>
      </c>
      <c r="E38" s="1">
        <v>28</v>
      </c>
      <c r="G38" s="4" t="s">
        <v>1587</v>
      </c>
      <c r="H38" s="1">
        <v>28</v>
      </c>
      <c r="J38" s="4" t="s">
        <v>1588</v>
      </c>
      <c r="K38" s="1">
        <v>3</v>
      </c>
    </row>
    <row r="39" spans="4:12" x14ac:dyDescent="0.3">
      <c r="D39" s="4" t="s">
        <v>1588</v>
      </c>
      <c r="E39" s="1">
        <v>5</v>
      </c>
      <c r="G39" s="4" t="s">
        <v>1588</v>
      </c>
      <c r="H39" s="1">
        <v>5</v>
      </c>
      <c r="J39" s="4" t="s">
        <v>1520</v>
      </c>
      <c r="K39" s="1">
        <v>180</v>
      </c>
    </row>
    <row r="40" spans="4:12" x14ac:dyDescent="0.3">
      <c r="D40" s="4" t="s">
        <v>1520</v>
      </c>
      <c r="E40" s="1">
        <v>346</v>
      </c>
      <c r="G40" s="4" t="s">
        <v>1520</v>
      </c>
      <c r="H40" s="1">
        <v>328</v>
      </c>
    </row>
    <row r="42" spans="4:12" x14ac:dyDescent="0.3">
      <c r="D42" s="37" t="s">
        <v>1592</v>
      </c>
      <c r="E42" s="37"/>
      <c r="F42" s="37"/>
      <c r="G42" s="37"/>
      <c r="H42" s="37"/>
      <c r="I42" s="37"/>
      <c r="J42" s="37"/>
      <c r="K42" s="37"/>
    </row>
    <row r="43" spans="4:12" x14ac:dyDescent="0.3">
      <c r="H43" t="s">
        <v>1599</v>
      </c>
    </row>
    <row r="44" spans="4:12" x14ac:dyDescent="0.3">
      <c r="D44" s="3" t="s">
        <v>1519</v>
      </c>
      <c r="E44" t="s">
        <v>1594</v>
      </c>
      <c r="G44" s="3" t="s">
        <v>1519</v>
      </c>
      <c r="H44" t="s">
        <v>1594</v>
      </c>
      <c r="I44" t="s">
        <v>1595</v>
      </c>
      <c r="K44" t="s">
        <v>1674</v>
      </c>
      <c r="L44">
        <f>COUNTIFS(
  urbanthreads_q4[Type], "New",
  urbanthreads_q4[Status], "Delivered"
)</f>
        <v>253</v>
      </c>
    </row>
    <row r="45" spans="4:12" x14ac:dyDescent="0.3">
      <c r="D45" s="4" t="s">
        <v>25</v>
      </c>
      <c r="E45" s="1">
        <v>270</v>
      </c>
      <c r="G45" s="4" t="s">
        <v>25</v>
      </c>
      <c r="H45" s="1">
        <v>270</v>
      </c>
      <c r="I45" s="1">
        <v>786744</v>
      </c>
      <c r="K45" t="s">
        <v>1675</v>
      </c>
      <c r="L45">
        <f>COUNTIFS(
  urbanthreads_q4[Type], "New",
  urbanthreads_q4[Status], "Delivered",
  urbanthreads_q4[Return?], "Yes"
)</f>
        <v>147</v>
      </c>
    </row>
    <row r="46" spans="4:12" x14ac:dyDescent="0.3">
      <c r="D46" s="4" t="s">
        <v>39</v>
      </c>
      <c r="E46" s="1">
        <v>76</v>
      </c>
      <c r="G46" s="4" t="s">
        <v>39</v>
      </c>
      <c r="H46" s="1">
        <v>76</v>
      </c>
      <c r="I46" s="1">
        <v>233675</v>
      </c>
    </row>
    <row r="47" spans="4:12" x14ac:dyDescent="0.3">
      <c r="D47" s="4" t="s">
        <v>1520</v>
      </c>
      <c r="E47" s="1">
        <v>346</v>
      </c>
      <c r="G47" s="4" t="s">
        <v>1520</v>
      </c>
      <c r="H47" s="1">
        <v>346</v>
      </c>
      <c r="I47" s="1">
        <v>1020419</v>
      </c>
      <c r="K47" t="s">
        <v>1678</v>
      </c>
      <c r="L47">
        <f>COUNTIFS(
  urbanthreads_q4[Type], "Returning",
  urbanthreads_q4[Status], "Delivered"
)</f>
        <v>75</v>
      </c>
    </row>
    <row r="48" spans="4:12" x14ac:dyDescent="0.3">
      <c r="K48" t="s">
        <v>1679</v>
      </c>
      <c r="L48">
        <f>COUNTIFS(
  urbanthreads_q4[Type], "Returning",
  urbanthreads_q4[Status], "Delivered",
  urbanthreads_q4[Return?], "Yes"
)</f>
        <v>33</v>
      </c>
    </row>
    <row r="49" spans="4:11" x14ac:dyDescent="0.3">
      <c r="D49" s="4" t="s">
        <v>1593</v>
      </c>
      <c r="E49" s="6">
        <f>E14/E13</f>
        <v>0.54878048780487809</v>
      </c>
      <c r="G49" s="4" t="s">
        <v>1596</v>
      </c>
      <c r="H49">
        <f>GETPIVOTDATA("Sum of Net revenue",$G$44,"Type","New")/GETPIVOTDATA("Order volume by customer type",$G$44,"Type","New")</f>
        <v>2913.8666666666668</v>
      </c>
    </row>
    <row r="50" spans="4:11" x14ac:dyDescent="0.3">
      <c r="D50" s="4" t="s">
        <v>1676</v>
      </c>
      <c r="E50" s="6">
        <f>L45/L44</f>
        <v>0.5810276679841897</v>
      </c>
      <c r="G50" s="4" t="s">
        <v>1597</v>
      </c>
      <c r="H50">
        <f>GETPIVOTDATA("Sum of Net revenue",$G$44,"Type","Returning")/GETPIVOTDATA("Order volume by customer type",$G$44,"Type","Returning")</f>
        <v>3074.6710526315787</v>
      </c>
    </row>
    <row r="51" spans="4:11" x14ac:dyDescent="0.3">
      <c r="D51" s="4" t="s">
        <v>1677</v>
      </c>
      <c r="E51" s="6">
        <f>L48/L47</f>
        <v>0.44</v>
      </c>
      <c r="G51" s="4" t="s">
        <v>1598</v>
      </c>
      <c r="H51">
        <f>GETPIVOTDATA("Sum of Net revenue",$G$44)/GETPIVOTDATA("Order volume by customer type",$G$44)</f>
        <v>2949.1878612716764</v>
      </c>
      <c r="J51" s="3" t="s">
        <v>18</v>
      </c>
      <c r="K51" t="s">
        <v>34</v>
      </c>
    </row>
    <row r="52" spans="4:11" x14ac:dyDescent="0.3">
      <c r="G52" s="3" t="s">
        <v>18</v>
      </c>
      <c r="H52" t="s">
        <v>34</v>
      </c>
      <c r="J52" s="3" t="s">
        <v>19</v>
      </c>
      <c r="K52" t="s">
        <v>47</v>
      </c>
    </row>
    <row r="53" spans="4:11" x14ac:dyDescent="0.3">
      <c r="H53" t="s">
        <v>1600</v>
      </c>
    </row>
    <row r="54" spans="4:11" x14ac:dyDescent="0.3">
      <c r="D54" s="3" t="s">
        <v>1519</v>
      </c>
      <c r="E54" t="s">
        <v>1601</v>
      </c>
      <c r="G54" s="3" t="s">
        <v>1519</v>
      </c>
      <c r="H54" t="s">
        <v>1602</v>
      </c>
      <c r="J54" s="3" t="s">
        <v>1519</v>
      </c>
      <c r="K54" t="s">
        <v>1603</v>
      </c>
    </row>
    <row r="55" spans="4:11" x14ac:dyDescent="0.3">
      <c r="D55" s="4" t="s">
        <v>66</v>
      </c>
      <c r="E55" s="1">
        <v>109</v>
      </c>
      <c r="G55" s="4" t="s">
        <v>66</v>
      </c>
      <c r="H55" s="1">
        <v>105</v>
      </c>
      <c r="J55" s="4" t="s">
        <v>66</v>
      </c>
      <c r="K55" s="1">
        <v>71</v>
      </c>
    </row>
    <row r="56" spans="4:11" x14ac:dyDescent="0.3">
      <c r="D56" s="4" t="s">
        <v>45</v>
      </c>
      <c r="E56" s="1">
        <v>116</v>
      </c>
      <c r="G56" s="4" t="s">
        <v>45</v>
      </c>
      <c r="H56" s="1">
        <v>108</v>
      </c>
      <c r="J56" s="4" t="s">
        <v>45</v>
      </c>
      <c r="K56" s="1">
        <v>61</v>
      </c>
    </row>
    <row r="57" spans="4:11" x14ac:dyDescent="0.3">
      <c r="D57" s="4" t="s">
        <v>31</v>
      </c>
      <c r="E57" s="1">
        <v>121</v>
      </c>
      <c r="G57" s="4" t="s">
        <v>31</v>
      </c>
      <c r="H57" s="1">
        <v>115</v>
      </c>
      <c r="J57" s="4" t="s">
        <v>31</v>
      </c>
      <c r="K57" s="1">
        <v>48</v>
      </c>
    </row>
    <row r="58" spans="4:11" x14ac:dyDescent="0.3">
      <c r="D58" s="4" t="s">
        <v>1520</v>
      </c>
      <c r="E58" s="1">
        <v>346</v>
      </c>
      <c r="G58" s="4" t="s">
        <v>1520</v>
      </c>
      <c r="H58" s="1">
        <v>328</v>
      </c>
      <c r="J58" s="4" t="s">
        <v>1520</v>
      </c>
      <c r="K58" s="1">
        <v>180</v>
      </c>
    </row>
    <row r="60" spans="4:11" x14ac:dyDescent="0.3">
      <c r="D60" s="4" t="s">
        <v>1606</v>
      </c>
      <c r="E60" s="6">
        <f>GETPIVOTDATA("Order ID",$J$54,"Source","Instagram Shop")/GETPIVOTDATA("Order ID",$G$54,"Source","Instagram Shop")</f>
        <v>0.67619047619047623</v>
      </c>
    </row>
    <row r="61" spans="4:11" x14ac:dyDescent="0.3">
      <c r="D61" s="4" t="s">
        <v>1607</v>
      </c>
      <c r="E61" s="6">
        <f>GETPIVOTDATA("Order ID",$J$54,"Source","Mobile App")/GETPIVOTDATA("Order ID",$G$54,"Source","Mobile App")</f>
        <v>0.56481481481481477</v>
      </c>
    </row>
    <row r="62" spans="4:11" x14ac:dyDescent="0.3">
      <c r="D62" s="4" t="s">
        <v>1608</v>
      </c>
      <c r="E62" s="6">
        <f>GETPIVOTDATA("Order ID",$J$54,"Source","Website")/GETPIVOTDATA("Order ID",$G$54,"Source","Website")</f>
        <v>0.41739130434782606</v>
      </c>
    </row>
    <row r="64" spans="4:11" x14ac:dyDescent="0.3">
      <c r="H64" s="7" t="s">
        <v>1604</v>
      </c>
    </row>
    <row r="65" spans="4:14" x14ac:dyDescent="0.3">
      <c r="D65" s="3" t="s">
        <v>1519</v>
      </c>
      <c r="E65" t="s">
        <v>1595</v>
      </c>
      <c r="F65" t="s">
        <v>1605</v>
      </c>
    </row>
    <row r="66" spans="4:14" x14ac:dyDescent="0.3">
      <c r="D66" s="4" t="s">
        <v>66</v>
      </c>
      <c r="E66" s="1">
        <v>334586</v>
      </c>
      <c r="F66" s="1">
        <v>109</v>
      </c>
    </row>
    <row r="67" spans="4:14" x14ac:dyDescent="0.3">
      <c r="D67" s="4" t="s">
        <v>45</v>
      </c>
      <c r="E67" s="1">
        <v>328544</v>
      </c>
      <c r="F67" s="1">
        <v>116</v>
      </c>
    </row>
    <row r="68" spans="4:14" x14ac:dyDescent="0.3">
      <c r="D68" s="4" t="s">
        <v>31</v>
      </c>
      <c r="E68" s="1">
        <v>357289</v>
      </c>
      <c r="F68" s="1">
        <v>121</v>
      </c>
    </row>
    <row r="69" spans="4:14" x14ac:dyDescent="0.3">
      <c r="D69" s="4" t="s">
        <v>1520</v>
      </c>
      <c r="E69" s="1">
        <v>1020419</v>
      </c>
      <c r="F69" s="1">
        <v>346</v>
      </c>
    </row>
    <row r="71" spans="4:14" x14ac:dyDescent="0.3">
      <c r="D71" s="4" t="s">
        <v>1609</v>
      </c>
      <c r="E71">
        <f>GETPIVOTDATA("Sum of Net revenue",$D$65,"Source","Instagram Shop")/GETPIVOTDATA("Count of Order Date",$D$65,"Source","Instagram Shop")</f>
        <v>3069.5963302752293</v>
      </c>
    </row>
    <row r="72" spans="4:14" x14ac:dyDescent="0.3">
      <c r="D72" s="4" t="s">
        <v>1610</v>
      </c>
      <c r="E72">
        <f>GETPIVOTDATA("Sum of Net revenue",$D$65,"Source","Mobile App")/GETPIVOTDATA("Count of Order Date",$D$65,"Source","Mobile App")</f>
        <v>2832.2758620689656</v>
      </c>
    </row>
    <row r="73" spans="4:14" x14ac:dyDescent="0.3">
      <c r="D73" s="4" t="s">
        <v>1611</v>
      </c>
      <c r="E73">
        <f>GETPIVOTDATA("Sum of Net revenue",$D$65,"Source","Website")/GETPIVOTDATA("Count of Order Date",$D$65,"Source","Website")</f>
        <v>2952.8016528925618</v>
      </c>
      <c r="J73" s="3" t="s">
        <v>18</v>
      </c>
      <c r="K73" t="s">
        <v>34</v>
      </c>
    </row>
    <row r="74" spans="4:14" x14ac:dyDescent="0.3">
      <c r="G74" s="3" t="s">
        <v>18</v>
      </c>
      <c r="H74" t="s">
        <v>34</v>
      </c>
      <c r="J74" s="3" t="s">
        <v>19</v>
      </c>
      <c r="K74" t="s">
        <v>47</v>
      </c>
    </row>
    <row r="75" spans="4:14" x14ac:dyDescent="0.3">
      <c r="H75" t="s">
        <v>1616</v>
      </c>
      <c r="M75" s="4"/>
      <c r="N75" s="6"/>
    </row>
    <row r="76" spans="4:14" x14ac:dyDescent="0.3">
      <c r="D76" s="3" t="s">
        <v>1519</v>
      </c>
      <c r="E76" t="s">
        <v>1614</v>
      </c>
      <c r="G76" s="3" t="s">
        <v>1519</v>
      </c>
      <c r="H76" t="s">
        <v>1615</v>
      </c>
      <c r="J76" s="3" t="s">
        <v>1519</v>
      </c>
      <c r="K76" t="s">
        <v>1614</v>
      </c>
      <c r="M76" s="4"/>
      <c r="N76" s="6"/>
    </row>
    <row r="77" spans="4:14" x14ac:dyDescent="0.3">
      <c r="D77" s="4" t="s">
        <v>56</v>
      </c>
      <c r="E77" s="1">
        <v>63</v>
      </c>
      <c r="G77" s="4" t="s">
        <v>56</v>
      </c>
      <c r="H77" s="1">
        <v>46</v>
      </c>
      <c r="J77" s="4" t="s">
        <v>56</v>
      </c>
      <c r="K77" s="1">
        <v>38</v>
      </c>
      <c r="M77" s="4"/>
      <c r="N77" s="6"/>
    </row>
    <row r="78" spans="4:14" x14ac:dyDescent="0.3">
      <c r="D78" s="4" t="s">
        <v>1612</v>
      </c>
      <c r="E78" s="1">
        <v>283</v>
      </c>
      <c r="G78" s="4" t="s">
        <v>1612</v>
      </c>
      <c r="H78" s="1">
        <v>282</v>
      </c>
      <c r="J78" s="4" t="s">
        <v>1612</v>
      </c>
      <c r="K78" s="1">
        <v>142</v>
      </c>
      <c r="M78" s="4"/>
      <c r="N78" s="6"/>
    </row>
    <row r="79" spans="4:14" x14ac:dyDescent="0.3">
      <c r="D79" s="4" t="s">
        <v>1520</v>
      </c>
      <c r="E79" s="1">
        <v>346</v>
      </c>
      <c r="G79" s="4" t="s">
        <v>1520</v>
      </c>
      <c r="H79" s="1">
        <v>328</v>
      </c>
      <c r="J79" s="4" t="s">
        <v>1520</v>
      </c>
      <c r="K79" s="1">
        <v>180</v>
      </c>
      <c r="M79" s="4"/>
      <c r="N79" s="6"/>
    </row>
    <row r="80" spans="4:14" x14ac:dyDescent="0.3">
      <c r="M80" s="4"/>
    </row>
    <row r="81" spans="4:11" x14ac:dyDescent="0.3">
      <c r="D81" s="4" t="s">
        <v>1617</v>
      </c>
      <c r="E81" s="6">
        <f>GETPIVOTDATA("Order ID",$J$76,"Payment Type","COD")/GETPIVOTDATA("Order ID",$G$76,"Payment Type","COD")</f>
        <v>0.82608695652173914</v>
      </c>
    </row>
    <row r="82" spans="4:11" x14ac:dyDescent="0.3">
      <c r="D82" s="4" t="s">
        <v>1618</v>
      </c>
      <c r="E82" s="6">
        <f>GETPIVOTDATA("Order ID",$J$76,"Payment Type","Prepaid")/GETPIVOTDATA("Order ID",$G$76,"Payment Type","Prepaid")</f>
        <v>0.50354609929078009</v>
      </c>
    </row>
    <row r="84" spans="4:11" x14ac:dyDescent="0.3">
      <c r="H84" t="s">
        <v>1619</v>
      </c>
      <c r="J84" s="3" t="s">
        <v>18</v>
      </c>
      <c r="K84" t="s">
        <v>34</v>
      </c>
    </row>
    <row r="85" spans="4:11" x14ac:dyDescent="0.3">
      <c r="G85" s="3" t="s">
        <v>18</v>
      </c>
      <c r="H85" t="s">
        <v>34</v>
      </c>
      <c r="J85" s="3" t="s">
        <v>19</v>
      </c>
      <c r="K85" t="s">
        <v>47</v>
      </c>
    </row>
    <row r="87" spans="4:11" x14ac:dyDescent="0.3">
      <c r="D87" s="3" t="s">
        <v>1519</v>
      </c>
      <c r="E87" t="s">
        <v>1620</v>
      </c>
      <c r="G87" s="3" t="s">
        <v>1519</v>
      </c>
      <c r="H87" t="s">
        <v>1621</v>
      </c>
      <c r="J87" s="3" t="s">
        <v>1519</v>
      </c>
      <c r="K87" t="s">
        <v>1620</v>
      </c>
    </row>
    <row r="88" spans="4:11" x14ac:dyDescent="0.3">
      <c r="D88" s="4" t="s">
        <v>72</v>
      </c>
      <c r="E88" s="1">
        <v>68</v>
      </c>
      <c r="G88" s="4" t="s">
        <v>72</v>
      </c>
      <c r="H88" s="1">
        <v>65</v>
      </c>
      <c r="J88" s="4" t="s">
        <v>72</v>
      </c>
      <c r="K88" s="1">
        <v>16</v>
      </c>
    </row>
    <row r="89" spans="4:11" x14ac:dyDescent="0.3">
      <c r="D89" s="4" t="s">
        <v>54</v>
      </c>
      <c r="E89" s="1">
        <v>67</v>
      </c>
      <c r="G89" s="4" t="s">
        <v>54</v>
      </c>
      <c r="H89" s="1">
        <v>65</v>
      </c>
      <c r="J89" s="4" t="s">
        <v>54</v>
      </c>
      <c r="K89" s="1">
        <v>25</v>
      </c>
    </row>
    <row r="90" spans="4:11" x14ac:dyDescent="0.3">
      <c r="D90" s="4" t="s">
        <v>41</v>
      </c>
      <c r="E90" s="1">
        <v>70</v>
      </c>
      <c r="G90" s="4" t="s">
        <v>41</v>
      </c>
      <c r="H90" s="1">
        <v>66</v>
      </c>
      <c r="J90" s="4" t="s">
        <v>41</v>
      </c>
      <c r="K90" s="1">
        <v>44</v>
      </c>
    </row>
    <row r="91" spans="4:11" x14ac:dyDescent="0.3">
      <c r="D91" s="4" t="s">
        <v>62</v>
      </c>
      <c r="E91" s="1">
        <v>68</v>
      </c>
      <c r="G91" s="4" t="s">
        <v>62</v>
      </c>
      <c r="H91" s="1">
        <v>65</v>
      </c>
      <c r="J91" s="4" t="s">
        <v>62</v>
      </c>
      <c r="K91" s="1">
        <v>52</v>
      </c>
    </row>
    <row r="92" spans="4:11" x14ac:dyDescent="0.3">
      <c r="D92" s="4" t="s">
        <v>27</v>
      </c>
      <c r="E92" s="1">
        <v>73</v>
      </c>
      <c r="G92" s="4" t="s">
        <v>27</v>
      </c>
      <c r="H92" s="1">
        <v>67</v>
      </c>
      <c r="J92" s="4" t="s">
        <v>27</v>
      </c>
      <c r="K92" s="1">
        <v>43</v>
      </c>
    </row>
    <row r="93" spans="4:11" x14ac:dyDescent="0.3">
      <c r="D93" s="4" t="s">
        <v>1520</v>
      </c>
      <c r="E93" s="1">
        <v>346</v>
      </c>
      <c r="G93" s="4" t="s">
        <v>1520</v>
      </c>
      <c r="H93" s="1">
        <v>328</v>
      </c>
      <c r="J93" s="4" t="s">
        <v>1520</v>
      </c>
      <c r="K93" s="1">
        <v>180</v>
      </c>
    </row>
    <row r="95" spans="4:11" x14ac:dyDescent="0.3">
      <c r="D95" s="4" t="s">
        <v>1622</v>
      </c>
      <c r="E95" s="6">
        <f>GETPIVOTDATA("Order ID",$J$87,"Category","Accessories")/GETPIVOTDATA("Order ID",$G$87,"Category","Accessories")</f>
        <v>0.24615384615384617</v>
      </c>
    </row>
    <row r="96" spans="4:11" x14ac:dyDescent="0.3">
      <c r="D96" s="4" t="s">
        <v>1623</v>
      </c>
      <c r="E96" s="6">
        <f>GETPIVOTDATA("Order ID",$J$87,"Category","Bottoms")/GETPIVOTDATA("Order ID",$G$87,"Category","Bottoms")</f>
        <v>0.38461538461538464</v>
      </c>
    </row>
    <row r="97" spans="1:16" x14ac:dyDescent="0.3">
      <c r="D97" s="4" t="s">
        <v>1624</v>
      </c>
      <c r="E97" s="6">
        <f>GETPIVOTDATA("Order ID",$J$87,"Category","Dresses")/GETPIVOTDATA("Order ID",$G$87,"Category","Dresses")</f>
        <v>0.66666666666666663</v>
      </c>
    </row>
    <row r="98" spans="1:16" x14ac:dyDescent="0.3">
      <c r="D98" s="4" t="s">
        <v>1625</v>
      </c>
      <c r="E98" s="6">
        <f>GETPIVOTDATA("Order ID",$J$87,"Category","Outerwear")/GETPIVOTDATA("Order ID",$G$87,"Category","Outerwear")</f>
        <v>0.8</v>
      </c>
      <c r="O98" s="3" t="s">
        <v>18</v>
      </c>
      <c r="P98" t="s">
        <v>34</v>
      </c>
    </row>
    <row r="99" spans="1:16" x14ac:dyDescent="0.3">
      <c r="D99" s="4" t="s">
        <v>1626</v>
      </c>
      <c r="E99" s="6">
        <f>GETPIVOTDATA("Order ID",$J$87,"Category","Tops")/GETPIVOTDATA("Order ID",$G$87,"Category","Tops")</f>
        <v>0.64179104477611937</v>
      </c>
      <c r="I99" s="3" t="s">
        <v>22</v>
      </c>
      <c r="J99" t="s">
        <v>49</v>
      </c>
      <c r="L99" s="3" t="s">
        <v>18</v>
      </c>
      <c r="M99" t="s">
        <v>34</v>
      </c>
      <c r="O99" s="3" t="s">
        <v>3</v>
      </c>
      <c r="P99" t="s">
        <v>25</v>
      </c>
    </row>
    <row r="100" spans="1:16" x14ac:dyDescent="0.3">
      <c r="I100" s="3" t="s">
        <v>21</v>
      </c>
      <c r="J100" t="s">
        <v>1648</v>
      </c>
      <c r="L100" s="3" t="s">
        <v>3</v>
      </c>
      <c r="M100" t="s">
        <v>25</v>
      </c>
      <c r="O100" s="3" t="s">
        <v>19</v>
      </c>
      <c r="P100" t="s">
        <v>47</v>
      </c>
    </row>
    <row r="101" spans="1:16" ht="28.8" x14ac:dyDescent="0.3">
      <c r="A101" s="11" t="s">
        <v>1627</v>
      </c>
      <c r="B101" s="11" t="s">
        <v>1628</v>
      </c>
      <c r="C101" s="11" t="s">
        <v>1629</v>
      </c>
      <c r="F101" s="11" t="s">
        <v>1647</v>
      </c>
      <c r="I101" t="s">
        <v>1638</v>
      </c>
      <c r="L101" t="s">
        <v>1649</v>
      </c>
      <c r="O101" t="s">
        <v>1650</v>
      </c>
    </row>
    <row r="102" spans="1:16" x14ac:dyDescent="0.3">
      <c r="A102" s="12" t="s">
        <v>1630</v>
      </c>
      <c r="B102" s="12" t="s">
        <v>1631</v>
      </c>
      <c r="C102" s="12">
        <f>SUM(urbanthreads_q4[Total])</f>
        <v>1023789</v>
      </c>
      <c r="F102" s="3" t="s">
        <v>1519</v>
      </c>
      <c r="G102" t="s">
        <v>1518</v>
      </c>
      <c r="I102" t="s">
        <v>1518</v>
      </c>
      <c r="L102" t="s">
        <v>1518</v>
      </c>
      <c r="O102" t="s">
        <v>1518</v>
      </c>
    </row>
    <row r="103" spans="1:16" x14ac:dyDescent="0.3">
      <c r="A103" s="12" t="s">
        <v>1632</v>
      </c>
      <c r="B103" s="12" t="s">
        <v>1633</v>
      </c>
      <c r="C103" s="12">
        <f>SUM(urbanthreads_q4[Net revenue])</f>
        <v>1020419</v>
      </c>
      <c r="F103" s="4" t="s">
        <v>121</v>
      </c>
      <c r="G103" s="1">
        <v>17</v>
      </c>
      <c r="I103" s="1">
        <v>173</v>
      </c>
      <c r="L103" s="1">
        <v>253</v>
      </c>
      <c r="O103" s="1">
        <v>147</v>
      </c>
    </row>
    <row r="104" spans="1:16" ht="43.2" x14ac:dyDescent="0.3">
      <c r="A104" s="12" t="s">
        <v>1634</v>
      </c>
      <c r="B104" s="12" t="s">
        <v>1635</v>
      </c>
      <c r="C104" s="6">
        <f>E14/E13</f>
        <v>0.54878048780487809</v>
      </c>
      <c r="I104" s="3" t="s">
        <v>18</v>
      </c>
      <c r="J104" t="s">
        <v>34</v>
      </c>
    </row>
    <row r="105" spans="1:16" ht="43.2" customHeight="1" x14ac:dyDescent="0.3">
      <c r="A105" s="12" t="s">
        <v>1636</v>
      </c>
      <c r="B105" s="12" t="s">
        <v>1637</v>
      </c>
      <c r="C105" s="13">
        <f>GETPIVOTDATA("Order ID",$F$102,"Status","RTO")/E13</f>
        <v>5.1829268292682924E-2</v>
      </c>
      <c r="F105" s="3" t="s">
        <v>18</v>
      </c>
      <c r="G105" t="s">
        <v>34</v>
      </c>
      <c r="I105" s="3" t="s">
        <v>3</v>
      </c>
      <c r="J105" t="s">
        <v>39</v>
      </c>
    </row>
    <row r="106" spans="1:16" ht="43.2" x14ac:dyDescent="0.3">
      <c r="A106" s="12" t="s">
        <v>1638</v>
      </c>
      <c r="B106" s="12" t="s">
        <v>1639</v>
      </c>
      <c r="C106" s="13">
        <f>GETPIVOTDATA("Order ID",$I$102)/E14</f>
        <v>0.96111111111111114</v>
      </c>
      <c r="F106" s="3" t="s">
        <v>3</v>
      </c>
      <c r="G106" t="s">
        <v>39</v>
      </c>
      <c r="I106" s="3" t="s">
        <v>19</v>
      </c>
      <c r="J106" t="s">
        <v>47</v>
      </c>
    </row>
    <row r="107" spans="1:16" ht="57.6" x14ac:dyDescent="0.3">
      <c r="A107" s="12" t="s">
        <v>1640</v>
      </c>
      <c r="B107" s="12" t="s">
        <v>1641</v>
      </c>
      <c r="C107" s="13">
        <f>GETPIVOTDATA("Order ID",$O$102)/GETPIVOTDATA("Order ID",$L$102)</f>
        <v>0.5810276679841897</v>
      </c>
      <c r="F107" t="s">
        <v>1651</v>
      </c>
      <c r="I107" t="s">
        <v>1652</v>
      </c>
    </row>
    <row r="108" spans="1:16" ht="57.6" x14ac:dyDescent="0.3">
      <c r="A108" s="12" t="s">
        <v>1642</v>
      </c>
      <c r="B108" s="12" t="s">
        <v>1643</v>
      </c>
      <c r="C108" s="13">
        <f>GETPIVOTDATA("Order ID",$I$108)/GETPIVOTDATA("Order ID",$F$108)</f>
        <v>0.44</v>
      </c>
      <c r="F108" t="s">
        <v>1518</v>
      </c>
      <c r="I108" t="s">
        <v>1518</v>
      </c>
    </row>
    <row r="109" spans="1:16" ht="28.8" x14ac:dyDescent="0.3">
      <c r="A109" s="12" t="s">
        <v>1644</v>
      </c>
      <c r="B109" s="12" t="s">
        <v>1645</v>
      </c>
      <c r="C109" s="12" t="s">
        <v>1646</v>
      </c>
      <c r="F109" s="1">
        <v>75</v>
      </c>
      <c r="I109" s="1">
        <v>33</v>
      </c>
    </row>
    <row r="112" spans="1:16" x14ac:dyDescent="0.3">
      <c r="F112" t="s">
        <v>1653</v>
      </c>
    </row>
    <row r="113" spans="6:8" x14ac:dyDescent="0.3">
      <c r="F113" s="3" t="s">
        <v>1689</v>
      </c>
      <c r="G113" t="s">
        <v>1690</v>
      </c>
      <c r="H113" t="s">
        <v>1654</v>
      </c>
    </row>
    <row r="114" spans="6:8" x14ac:dyDescent="0.3">
      <c r="F114" s="4" t="s">
        <v>57</v>
      </c>
      <c r="G114" s="1">
        <v>93</v>
      </c>
      <c r="H114" s="6">
        <f>GETPIVOTDATA("Order ID",$F$113,"Warehouse","Bangalore")/GETPIVOTDATA("Order ID",$F$113)</f>
        <v>0.26878612716763006</v>
      </c>
    </row>
    <row r="115" spans="6:8" x14ac:dyDescent="0.3">
      <c r="F115" s="4" t="s">
        <v>46</v>
      </c>
      <c r="G115" s="1">
        <v>132</v>
      </c>
      <c r="H115" s="6">
        <f>GETPIVOTDATA("Order ID",$F$113,"Warehouse","Delhi")/GETPIVOTDATA("Order ID",$F$113)</f>
        <v>0.38150289017341038</v>
      </c>
    </row>
    <row r="116" spans="6:8" x14ac:dyDescent="0.3">
      <c r="F116" s="4" t="s">
        <v>32</v>
      </c>
      <c r="G116" s="1">
        <v>121</v>
      </c>
      <c r="H116" s="6">
        <f>GETPIVOTDATA("Order ID",$F$113,"Warehouse","Mumbai")/GETPIVOTDATA("Order ID",$F$113)</f>
        <v>0.34971098265895956</v>
      </c>
    </row>
    <row r="117" spans="6:8" x14ac:dyDescent="0.3">
      <c r="F117" s="4" t="s">
        <v>1520</v>
      </c>
      <c r="G117" s="1">
        <v>346</v>
      </c>
      <c r="H117" s="6">
        <f>SUM(H114:H116)</f>
        <v>1</v>
      </c>
    </row>
    <row r="151" spans="2:8" x14ac:dyDescent="0.3">
      <c r="H151" t="s">
        <v>1694</v>
      </c>
    </row>
    <row r="153" spans="2:8" x14ac:dyDescent="0.3">
      <c r="B153" t="s">
        <v>1692</v>
      </c>
      <c r="C153" t="s">
        <v>1693</v>
      </c>
      <c r="D153" t="s">
        <v>1529</v>
      </c>
      <c r="E153" t="s">
        <v>1634</v>
      </c>
    </row>
    <row r="154" spans="2:8" x14ac:dyDescent="0.3">
      <c r="B154" t="str" cm="1">
        <f t="array" ref="B154:B167">D26:D39</f>
        <v>2024-W40</v>
      </c>
      <c r="C154" cm="1">
        <f t="array" ref="C154:C167">H26:H39</f>
        <v>23</v>
      </c>
      <c r="D154" cm="1">
        <f t="array" ref="D154:D167">K25:K38</f>
        <v>11</v>
      </c>
      <c r="E154" s="6">
        <f>D154/C154</f>
        <v>0.47826086956521741</v>
      </c>
    </row>
    <row r="155" spans="2:8" x14ac:dyDescent="0.3">
      <c r="B155" t="str">
        <v>2024-W41</v>
      </c>
      <c r="C155">
        <v>27</v>
      </c>
      <c r="D155">
        <v>11</v>
      </c>
      <c r="E155" s="6">
        <f t="shared" ref="E155:E167" si="0">D155/C155</f>
        <v>0.40740740740740738</v>
      </c>
    </row>
    <row r="156" spans="2:8" x14ac:dyDescent="0.3">
      <c r="B156" t="str">
        <v>2024-W42</v>
      </c>
      <c r="C156">
        <v>26</v>
      </c>
      <c r="D156">
        <v>13</v>
      </c>
      <c r="E156" s="6">
        <f t="shared" si="0"/>
        <v>0.5</v>
      </c>
    </row>
    <row r="157" spans="2:8" x14ac:dyDescent="0.3">
      <c r="B157" t="str">
        <v>2024-W43</v>
      </c>
      <c r="C157">
        <v>24</v>
      </c>
      <c r="D157">
        <v>10</v>
      </c>
      <c r="E157" s="6">
        <f t="shared" si="0"/>
        <v>0.41666666666666669</v>
      </c>
    </row>
    <row r="158" spans="2:8" x14ac:dyDescent="0.3">
      <c r="B158" t="str">
        <v>2024-W44</v>
      </c>
      <c r="C158">
        <v>31</v>
      </c>
      <c r="D158">
        <v>24</v>
      </c>
      <c r="E158" s="6">
        <f t="shared" si="0"/>
        <v>0.77419354838709675</v>
      </c>
    </row>
    <row r="159" spans="2:8" x14ac:dyDescent="0.3">
      <c r="B159" t="str">
        <v>2024-W45</v>
      </c>
      <c r="C159">
        <v>20</v>
      </c>
      <c r="D159">
        <v>11</v>
      </c>
      <c r="E159" s="6">
        <f t="shared" si="0"/>
        <v>0.55000000000000004</v>
      </c>
    </row>
    <row r="160" spans="2:8" x14ac:dyDescent="0.3">
      <c r="B160" t="str">
        <v>2024-W46</v>
      </c>
      <c r="C160">
        <v>20</v>
      </c>
      <c r="D160">
        <v>12</v>
      </c>
      <c r="E160" s="6">
        <f t="shared" si="0"/>
        <v>0.6</v>
      </c>
    </row>
    <row r="161" spans="2:8" x14ac:dyDescent="0.3">
      <c r="B161" t="str">
        <v>2024-W47</v>
      </c>
      <c r="C161">
        <v>20</v>
      </c>
      <c r="D161">
        <v>11</v>
      </c>
      <c r="E161" s="6">
        <f t="shared" si="0"/>
        <v>0.55000000000000004</v>
      </c>
    </row>
    <row r="162" spans="2:8" x14ac:dyDescent="0.3">
      <c r="B162" t="str">
        <v>2024-W48</v>
      </c>
      <c r="C162">
        <v>21</v>
      </c>
      <c r="D162">
        <v>13</v>
      </c>
      <c r="E162" s="6">
        <f t="shared" si="0"/>
        <v>0.61904761904761907</v>
      </c>
    </row>
    <row r="163" spans="2:8" x14ac:dyDescent="0.3">
      <c r="B163" t="str">
        <v>2024-W49</v>
      </c>
      <c r="C163">
        <v>27</v>
      </c>
      <c r="D163">
        <v>11</v>
      </c>
      <c r="E163" s="6">
        <f t="shared" si="0"/>
        <v>0.40740740740740738</v>
      </c>
    </row>
    <row r="164" spans="2:8" x14ac:dyDescent="0.3">
      <c r="B164" t="str">
        <v>2024-W50</v>
      </c>
      <c r="C164">
        <v>27</v>
      </c>
      <c r="D164">
        <v>16</v>
      </c>
      <c r="E164" s="6">
        <f t="shared" si="0"/>
        <v>0.59259259259259256</v>
      </c>
    </row>
    <row r="165" spans="2:8" x14ac:dyDescent="0.3">
      <c r="B165" t="str">
        <v>2024-W51</v>
      </c>
      <c r="C165">
        <v>28</v>
      </c>
      <c r="D165">
        <v>17</v>
      </c>
      <c r="E165" s="6">
        <f t="shared" si="0"/>
        <v>0.6071428571428571</v>
      </c>
    </row>
    <row r="166" spans="2:8" x14ac:dyDescent="0.3">
      <c r="B166" t="str">
        <v>2024-W52</v>
      </c>
      <c r="C166">
        <v>28</v>
      </c>
      <c r="D166">
        <v>17</v>
      </c>
      <c r="E166" s="6">
        <f t="shared" si="0"/>
        <v>0.6071428571428571</v>
      </c>
    </row>
    <row r="167" spans="2:8" x14ac:dyDescent="0.3">
      <c r="B167" t="str">
        <v>2024-W53</v>
      </c>
      <c r="C167">
        <v>5</v>
      </c>
      <c r="D167">
        <v>3</v>
      </c>
      <c r="E167" s="6">
        <f t="shared" si="0"/>
        <v>0.6</v>
      </c>
    </row>
    <row r="170" spans="2:8" x14ac:dyDescent="0.3">
      <c r="H170" t="s">
        <v>1695</v>
      </c>
    </row>
    <row r="171" spans="2:8" x14ac:dyDescent="0.3">
      <c r="B171" t="s">
        <v>1696</v>
      </c>
      <c r="C171" t="s">
        <v>1634</v>
      </c>
      <c r="D171" t="s">
        <v>1697</v>
      </c>
    </row>
    <row r="172" spans="2:8" x14ac:dyDescent="0.3">
      <c r="B172" t="str" cm="1">
        <f t="array" ref="B172:B176">D88:D92</f>
        <v>Accessories</v>
      </c>
      <c r="C172" s="6" cm="1">
        <f t="array" ref="C172:C176">E95:E99</f>
        <v>0.24615384615384617</v>
      </c>
      <c r="D172" s="6">
        <f>AVERAGEA(_xlfn.ANCHORARRAY(C172))</f>
        <v>0.54784538844240327</v>
      </c>
    </row>
    <row r="173" spans="2:8" x14ac:dyDescent="0.3">
      <c r="B173" t="str">
        <v>Bottoms</v>
      </c>
      <c r="C173" s="6">
        <v>0.38461538461538464</v>
      </c>
      <c r="D173" s="6">
        <v>0.54784538844240327</v>
      </c>
    </row>
    <row r="174" spans="2:8" x14ac:dyDescent="0.3">
      <c r="B174" t="str">
        <v>Dresses</v>
      </c>
      <c r="C174" s="6">
        <v>0.66666666666666663</v>
      </c>
      <c r="D174" s="6">
        <v>0.54784538844240327</v>
      </c>
    </row>
    <row r="175" spans="2:8" x14ac:dyDescent="0.3">
      <c r="B175" t="str">
        <v>Outerwear</v>
      </c>
      <c r="C175" s="6">
        <v>0.8</v>
      </c>
      <c r="D175" s="6">
        <v>0.54784538844240327</v>
      </c>
    </row>
    <row r="176" spans="2:8" x14ac:dyDescent="0.3">
      <c r="B176" t="str">
        <v>Tops</v>
      </c>
      <c r="C176" s="6">
        <v>0.64179104477611937</v>
      </c>
      <c r="D176" s="6">
        <v>0.54784538844240327</v>
      </c>
    </row>
    <row r="187" spans="2:8" x14ac:dyDescent="0.3">
      <c r="B187" s="35" t="s">
        <v>19</v>
      </c>
      <c r="C187" s="34" t="s">
        <v>47</v>
      </c>
    </row>
    <row r="188" spans="2:8" x14ac:dyDescent="0.3">
      <c r="H188" t="s">
        <v>1698</v>
      </c>
    </row>
    <row r="189" spans="2:8" x14ac:dyDescent="0.3">
      <c r="B189" s="35" t="s">
        <v>1699</v>
      </c>
      <c r="C189" s="34" t="s">
        <v>1700</v>
      </c>
      <c r="D189" s="34"/>
    </row>
    <row r="190" spans="2:8" x14ac:dyDescent="0.3">
      <c r="B190" s="34" t="s">
        <v>48</v>
      </c>
      <c r="C190" s="36">
        <v>0.37222222222222223</v>
      </c>
      <c r="D190" s="36"/>
    </row>
    <row r="191" spans="2:8" x14ac:dyDescent="0.3">
      <c r="B191" s="34" t="s">
        <v>69</v>
      </c>
      <c r="C191" s="36">
        <v>0.17777777777777778</v>
      </c>
      <c r="D191" s="36"/>
    </row>
    <row r="192" spans="2:8" x14ac:dyDescent="0.3">
      <c r="B192" s="34" t="s">
        <v>80</v>
      </c>
      <c r="C192" s="36">
        <v>0.16111111111111112</v>
      </c>
      <c r="D192" s="36"/>
    </row>
    <row r="193" spans="2:8" x14ac:dyDescent="0.3">
      <c r="B193" s="34" t="s">
        <v>105</v>
      </c>
      <c r="C193" s="36">
        <v>0.15555555555555556</v>
      </c>
      <c r="D193" s="36"/>
    </row>
    <row r="194" spans="2:8" x14ac:dyDescent="0.3">
      <c r="B194" s="34" t="s">
        <v>139</v>
      </c>
      <c r="C194" s="36">
        <v>0.13333333333333333</v>
      </c>
      <c r="D194" s="36"/>
    </row>
    <row r="195" spans="2:8" x14ac:dyDescent="0.3">
      <c r="B195" s="34" t="s">
        <v>1520</v>
      </c>
      <c r="C195" s="36">
        <v>1</v>
      </c>
      <c r="D195" s="36"/>
    </row>
    <row r="205" spans="2:8" x14ac:dyDescent="0.3">
      <c r="B205" s="3" t="s">
        <v>18</v>
      </c>
      <c r="C205" t="s">
        <v>34</v>
      </c>
      <c r="H205" t="s">
        <v>1701</v>
      </c>
    </row>
    <row r="207" spans="2:8" x14ac:dyDescent="0.3">
      <c r="B207" s="3" t="s">
        <v>1518</v>
      </c>
      <c r="C207" s="3" t="s">
        <v>1702</v>
      </c>
    </row>
    <row r="208" spans="2:8" x14ac:dyDescent="0.3">
      <c r="B208" s="3" t="s">
        <v>1519</v>
      </c>
      <c r="C208" t="s">
        <v>66</v>
      </c>
      <c r="D208" t="s">
        <v>45</v>
      </c>
      <c r="E208" t="s">
        <v>31</v>
      </c>
      <c r="F208" t="s">
        <v>1520</v>
      </c>
    </row>
    <row r="209" spans="2:10" x14ac:dyDescent="0.3">
      <c r="B209" s="4" t="s">
        <v>25</v>
      </c>
      <c r="C209" s="1">
        <v>85</v>
      </c>
      <c r="D209" s="1">
        <v>81</v>
      </c>
      <c r="E209" s="1">
        <v>87</v>
      </c>
      <c r="F209" s="1">
        <v>253</v>
      </c>
    </row>
    <row r="210" spans="2:10" x14ac:dyDescent="0.3">
      <c r="B210" s="4" t="s">
        <v>39</v>
      </c>
      <c r="C210" s="1">
        <v>20</v>
      </c>
      <c r="D210" s="1">
        <v>27</v>
      </c>
      <c r="E210" s="1">
        <v>28</v>
      </c>
      <c r="F210" s="1">
        <v>75</v>
      </c>
    </row>
    <row r="211" spans="2:10" x14ac:dyDescent="0.3">
      <c r="B211" s="4" t="s">
        <v>1520</v>
      </c>
      <c r="C211" s="1">
        <v>105</v>
      </c>
      <c r="D211" s="1">
        <v>108</v>
      </c>
      <c r="E211" s="1">
        <v>115</v>
      </c>
      <c r="F211" s="1">
        <v>328</v>
      </c>
    </row>
    <row r="213" spans="2:10" x14ac:dyDescent="0.3">
      <c r="B213" s="14" t="s">
        <v>1672</v>
      </c>
      <c r="C213" s="14" t="s">
        <v>1703</v>
      </c>
      <c r="D213" s="14" t="s">
        <v>34</v>
      </c>
      <c r="E213" s="14" t="s">
        <v>1704</v>
      </c>
      <c r="F213" s="14" t="s">
        <v>1634</v>
      </c>
      <c r="H213" s="15" t="s">
        <v>1703</v>
      </c>
      <c r="I213" s="15" t="s">
        <v>1710</v>
      </c>
      <c r="J213" s="15" t="s">
        <v>1711</v>
      </c>
    </row>
    <row r="214" spans="2:10" x14ac:dyDescent="0.3">
      <c r="B214" s="14" t="s">
        <v>25</v>
      </c>
      <c r="C214" s="15" t="s">
        <v>66</v>
      </c>
      <c r="D214" s="15">
        <f>GETPIVOTDATA("Order ID",$B$207,"Type","New","Source","Instagram Shop")</f>
        <v>85</v>
      </c>
      <c r="E214" s="15">
        <v>63</v>
      </c>
      <c r="F214" s="16">
        <f>E214/D214</f>
        <v>0.74117647058823533</v>
      </c>
      <c r="H214" s="15" t="s">
        <v>66</v>
      </c>
      <c r="I214" s="16">
        <v>0.74119999999999997</v>
      </c>
      <c r="J214" s="16">
        <v>0.4</v>
      </c>
    </row>
    <row r="215" spans="2:10" x14ac:dyDescent="0.3">
      <c r="B215" s="14" t="s">
        <v>25</v>
      </c>
      <c r="C215" s="15" t="str">
        <f>D208</f>
        <v>Mobile App</v>
      </c>
      <c r="D215" s="15">
        <f>GETPIVOTDATA("Order ID",$B$207,"Type","New","Source","Mobile App")</f>
        <v>81</v>
      </c>
      <c r="E215" s="15">
        <v>46</v>
      </c>
      <c r="F215" s="16">
        <f t="shared" ref="F215:F219" si="1">E215/D215</f>
        <v>0.5679012345679012</v>
      </c>
      <c r="H215" s="15" t="s">
        <v>45</v>
      </c>
      <c r="I215" s="16">
        <v>0.56789999999999996</v>
      </c>
      <c r="J215" s="16">
        <v>0.55559999999999998</v>
      </c>
    </row>
    <row r="216" spans="2:10" x14ac:dyDescent="0.3">
      <c r="B216" s="14" t="s">
        <v>25</v>
      </c>
      <c r="C216" s="15" t="str">
        <f>E208</f>
        <v>Website</v>
      </c>
      <c r="D216" s="15">
        <f>GETPIVOTDATA("Order ID",$B$207,"Type","New","Source","Website")</f>
        <v>87</v>
      </c>
      <c r="E216" s="15">
        <v>38</v>
      </c>
      <c r="F216" s="16">
        <f t="shared" si="1"/>
        <v>0.43678160919540232</v>
      </c>
      <c r="H216" s="15" t="s">
        <v>31</v>
      </c>
      <c r="I216" s="16">
        <v>0.43680000000000002</v>
      </c>
      <c r="J216" s="16">
        <v>0.35709999999999997</v>
      </c>
    </row>
    <row r="217" spans="2:10" x14ac:dyDescent="0.3">
      <c r="B217" s="14" t="s">
        <v>39</v>
      </c>
      <c r="C217" s="15" t="str">
        <f>Raw_data!G358</f>
        <v>Instagram Shop</v>
      </c>
      <c r="D217" s="15">
        <v>20</v>
      </c>
      <c r="E217" s="15">
        <f>GETPIVOTDATA("Order ID",Raw_data!$F$357,"Type","Returning","Source","Instagram Shop")</f>
        <v>8</v>
      </c>
      <c r="F217" s="16">
        <f t="shared" si="1"/>
        <v>0.4</v>
      </c>
    </row>
    <row r="218" spans="2:10" x14ac:dyDescent="0.3">
      <c r="B218" s="14" t="s">
        <v>39</v>
      </c>
      <c r="C218" s="15" t="str">
        <f>Raw_data!H358</f>
        <v>Mobile App</v>
      </c>
      <c r="D218" s="15">
        <v>27</v>
      </c>
      <c r="E218" s="15">
        <f>GETPIVOTDATA("Order ID",Raw_data!$F$357,"Type","Returning","Source","Mobile App")</f>
        <v>15</v>
      </c>
      <c r="F218" s="16">
        <f t="shared" si="1"/>
        <v>0.55555555555555558</v>
      </c>
    </row>
    <row r="219" spans="2:10" x14ac:dyDescent="0.3">
      <c r="B219" s="14" t="s">
        <v>39</v>
      </c>
      <c r="C219" s="15" t="str">
        <f>Raw_data!I358</f>
        <v>Website</v>
      </c>
      <c r="D219" s="15">
        <v>28</v>
      </c>
      <c r="E219" s="15">
        <f>GETPIVOTDATA("Order ID",Raw_data!$F$357,"Type","Returning","Source","Website")</f>
        <v>10</v>
      </c>
      <c r="F219" s="16">
        <f t="shared" si="1"/>
        <v>0.35714285714285715</v>
      </c>
    </row>
    <row r="224" spans="2:10" x14ac:dyDescent="0.3">
      <c r="B224" s="3" t="s">
        <v>18</v>
      </c>
      <c r="C224" t="s">
        <v>121</v>
      </c>
    </row>
    <row r="225" spans="2:8" x14ac:dyDescent="0.3">
      <c r="H225" t="s">
        <v>1705</v>
      </c>
    </row>
    <row r="226" spans="2:8" x14ac:dyDescent="0.3">
      <c r="B226" s="3" t="s">
        <v>1613</v>
      </c>
      <c r="C226" t="s">
        <v>1706</v>
      </c>
    </row>
    <row r="227" spans="2:8" x14ac:dyDescent="0.3">
      <c r="B227" s="4" t="s">
        <v>56</v>
      </c>
      <c r="C227" s="1">
        <v>16</v>
      </c>
      <c r="F227" s="41" t="s">
        <v>1613</v>
      </c>
      <c r="G227" s="41" t="s">
        <v>1634</v>
      </c>
      <c r="H227" s="41" t="s">
        <v>1708</v>
      </c>
    </row>
    <row r="228" spans="2:8" x14ac:dyDescent="0.3">
      <c r="B228" s="4" t="s">
        <v>1612</v>
      </c>
      <c r="C228" s="1">
        <v>1</v>
      </c>
      <c r="F228" s="41" t="s">
        <v>56</v>
      </c>
      <c r="G228" s="42">
        <f>E81</f>
        <v>0.82608695652173914</v>
      </c>
      <c r="H228" s="42">
        <f>GETPIVOTDATA("Order ID",$B$226,"Payment Type","COD")/GETPIVOTDATA("Order ID",$B$234,"Payment Type","COD")</f>
        <v>0.25806451612903225</v>
      </c>
    </row>
    <row r="229" spans="2:8" x14ac:dyDescent="0.3">
      <c r="B229" s="4" t="s">
        <v>1520</v>
      </c>
      <c r="C229" s="1">
        <v>17</v>
      </c>
      <c r="F229" s="41" t="s">
        <v>1612</v>
      </c>
      <c r="G229" s="42">
        <f>E82</f>
        <v>0.50354609929078009</v>
      </c>
      <c r="H229" s="42">
        <f>GETPIVOTDATA("Order ID",$B$226,"Payment Type","Prepaid")/GETPIVOTDATA("Order ID",$B$234,"Payment Type","Prepaid")</f>
        <v>3.5335689045936395E-3</v>
      </c>
    </row>
    <row r="232" spans="2:8" x14ac:dyDescent="0.3">
      <c r="B232" s="3" t="s">
        <v>18</v>
      </c>
      <c r="C232" t="s">
        <v>1648</v>
      </c>
    </row>
    <row r="234" spans="2:8" x14ac:dyDescent="0.3">
      <c r="B234" s="3" t="s">
        <v>1613</v>
      </c>
      <c r="C234" t="s">
        <v>1707</v>
      </c>
    </row>
    <row r="235" spans="2:8" x14ac:dyDescent="0.3">
      <c r="B235" s="4" t="s">
        <v>56</v>
      </c>
      <c r="C235" s="1">
        <v>62</v>
      </c>
    </row>
    <row r="236" spans="2:8" x14ac:dyDescent="0.3">
      <c r="B236" s="4" t="s">
        <v>1612</v>
      </c>
      <c r="C236" s="1">
        <v>283</v>
      </c>
    </row>
    <row r="237" spans="2:8" x14ac:dyDescent="0.3">
      <c r="B237" s="4" t="s">
        <v>1520</v>
      </c>
      <c r="C237" s="1">
        <v>345</v>
      </c>
    </row>
  </sheetData>
  <sortState xmlns:xlrd2="http://schemas.microsoft.com/office/spreadsheetml/2017/richdata2" ref="D190:D194">
    <sortCondition descending="1" ref="D190:D194"/>
  </sortState>
  <mergeCells count="2">
    <mergeCell ref="D23:J23"/>
    <mergeCell ref="D42:K42"/>
  </mergeCells>
  <pageMargins left="0.7" right="0.7" top="0.75" bottom="0.75" header="0.3" footer="0.3"/>
  <pageSetup orientation="portrait" r:id="rId33"/>
  <drawing r:id="rId3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0D108-CC51-47CE-BBDC-57BF77F4680D}">
  <dimension ref="F1:N91"/>
  <sheetViews>
    <sheetView topLeftCell="B63" workbookViewId="0">
      <selection activeCell="F92" sqref="F92"/>
    </sheetView>
  </sheetViews>
  <sheetFormatPr defaultRowHeight="14.4" x14ac:dyDescent="0.3"/>
  <cols>
    <col min="6" max="6" width="24.77734375" bestFit="1" customWidth="1"/>
    <col min="7" max="7" width="18.88671875" bestFit="1" customWidth="1"/>
    <col min="8" max="8" width="16.109375" bestFit="1" customWidth="1"/>
    <col min="9" max="9" width="26.21875" bestFit="1" customWidth="1"/>
    <col min="10" max="10" width="26.109375" bestFit="1" customWidth="1"/>
    <col min="11" max="11" width="10.33203125" bestFit="1" customWidth="1"/>
    <col min="12" max="12" width="12.44140625" bestFit="1" customWidth="1"/>
    <col min="13" max="13" width="22.44140625" bestFit="1" customWidth="1"/>
  </cols>
  <sheetData>
    <row r="1" spans="9:14" ht="23.4" x14ac:dyDescent="0.45">
      <c r="I1" s="38" t="s">
        <v>1655</v>
      </c>
      <c r="J1" s="38"/>
      <c r="L1" s="23"/>
      <c r="M1" s="23"/>
      <c r="N1" s="23"/>
    </row>
    <row r="3" spans="9:14" ht="18" x14ac:dyDescent="0.35">
      <c r="I3" s="39" t="s">
        <v>1662</v>
      </c>
      <c r="J3" s="40"/>
    </row>
    <row r="4" spans="9:14" x14ac:dyDescent="0.3">
      <c r="I4" s="14" t="s">
        <v>1656</v>
      </c>
      <c r="J4" s="14" t="s">
        <v>1629</v>
      </c>
    </row>
    <row r="5" spans="9:14" x14ac:dyDescent="0.3">
      <c r="I5" s="14" t="s">
        <v>1657</v>
      </c>
      <c r="J5" s="14">
        <f>COUNTA(urbanthreads_q4[Order ID])</f>
        <v>346</v>
      </c>
    </row>
    <row r="6" spans="9:14" x14ac:dyDescent="0.3">
      <c r="I6" s="14" t="s">
        <v>1658</v>
      </c>
      <c r="J6" s="14">
        <f>SUM(urbanthreads_q4[Net revenue])</f>
        <v>1020419</v>
      </c>
    </row>
    <row r="7" spans="9:14" x14ac:dyDescent="0.3">
      <c r="I7" s="14" t="s">
        <v>1659</v>
      </c>
      <c r="J7" s="14">
        <f>SUM(urbanthreads_q4[Qty])</f>
        <v>409</v>
      </c>
    </row>
    <row r="8" spans="9:14" x14ac:dyDescent="0.3">
      <c r="I8" s="14" t="s">
        <v>1660</v>
      </c>
      <c r="J8" s="14">
        <f>SUM(urbanthreads_q4[Net revenue]) / COUNTA(urbanthreads_q4[Order ID])</f>
        <v>2949.1878612716764</v>
      </c>
    </row>
    <row r="9" spans="9:14" x14ac:dyDescent="0.3">
      <c r="I9" s="14" t="s">
        <v>1661</v>
      </c>
      <c r="J9" s="17">
        <f>Working_Analysis!E14/Working_Analysis!E13</f>
        <v>0.54878048780487809</v>
      </c>
    </row>
    <row r="11" spans="9:14" ht="23.4" x14ac:dyDescent="0.45">
      <c r="I11" s="24" t="s">
        <v>1663</v>
      </c>
      <c r="K11" s="23"/>
      <c r="L11" s="23"/>
      <c r="M11" s="23"/>
    </row>
    <row r="12" spans="9:14" x14ac:dyDescent="0.3">
      <c r="I12" s="14" t="s">
        <v>1664</v>
      </c>
      <c r="J12" s="14" t="s">
        <v>1665</v>
      </c>
    </row>
    <row r="13" spans="9:14" x14ac:dyDescent="0.3">
      <c r="I13" s="18">
        <v>45566</v>
      </c>
      <c r="J13" s="14">
        <f>COUNTIFS(urbanthreads_q4[Order Date],"&gt;=01-10-2024",urbanthreads_q4[Order Date],"&lt;=31-10-2024")</f>
        <v>131</v>
      </c>
    </row>
    <row r="14" spans="9:14" x14ac:dyDescent="0.3">
      <c r="I14" s="18">
        <v>45597</v>
      </c>
      <c r="J14" s="14">
        <f>COUNTIFS(
  urbanthreads_q4[Order Date],"&gt;=01-11-2024",
  urbanthreads_q4[Order Date],"&lt;=30-11-2024"
)</f>
        <v>93</v>
      </c>
    </row>
    <row r="15" spans="9:14" x14ac:dyDescent="0.3">
      <c r="I15" s="18">
        <v>45627</v>
      </c>
      <c r="J15" s="14">
        <f>COUNTIFS(urbanthreads_q4[Order Date],"&gt;=01-12-2024",urbanthreads_q4[Order Date],"&lt;=31-12-2024")</f>
        <v>121</v>
      </c>
    </row>
    <row r="16" spans="9:14" x14ac:dyDescent="0.3">
      <c r="I16" s="18" t="s">
        <v>1666</v>
      </c>
      <c r="J16" s="14">
        <f>SUM(J13:J15)</f>
        <v>345</v>
      </c>
    </row>
    <row r="17" spans="6:13" x14ac:dyDescent="0.3">
      <c r="J17" s="10"/>
      <c r="K17" s="10"/>
    </row>
    <row r="18" spans="6:13" ht="23.4" x14ac:dyDescent="0.45">
      <c r="I18" s="24" t="s">
        <v>1667</v>
      </c>
      <c r="K18" s="22"/>
      <c r="L18" s="22"/>
      <c r="M18" s="22"/>
    </row>
    <row r="19" spans="6:13" x14ac:dyDescent="0.3">
      <c r="F19" s="20" t="str" cm="1">
        <f t="array" ref="F19:G35">Working_Analysis!D24:E40</f>
        <v>Week Number</v>
      </c>
      <c r="G19" s="20" t="str">
        <v>Total Orders (By week)</v>
      </c>
      <c r="I19" s="14" t="str" cm="1">
        <f t="array" ref="I19:J35">Working_Analysis!G24:H40</f>
        <v>Week Number</v>
      </c>
      <c r="J19" s="14" t="str">
        <v>Total Orders Delivered</v>
      </c>
      <c r="L19" s="14" t="str" cm="1">
        <f t="array" ref="L19:M34">Working_Analysis!J24:K39</f>
        <v>Week Number</v>
      </c>
      <c r="M19" s="14" t="str">
        <v>Returned Delivered Orders</v>
      </c>
    </row>
    <row r="20" spans="6:13" x14ac:dyDescent="0.3">
      <c r="F20" s="21" t="str">
        <v>2024-W2</v>
      </c>
      <c r="G20" s="21">
        <v>1</v>
      </c>
      <c r="I20" s="15" t="str">
        <v>2024-W2</v>
      </c>
      <c r="J20" s="15">
        <v>1</v>
      </c>
      <c r="L20" s="15" t="str">
        <v>2024-W40</v>
      </c>
      <c r="M20" s="15">
        <v>11</v>
      </c>
    </row>
    <row r="21" spans="6:13" x14ac:dyDescent="0.3">
      <c r="F21" s="21" t="str">
        <v>2024-W40</v>
      </c>
      <c r="G21" s="21">
        <v>26</v>
      </c>
      <c r="I21" s="15" t="str">
        <v>2024-W40</v>
      </c>
      <c r="J21" s="15">
        <v>23</v>
      </c>
      <c r="L21" s="15" t="str">
        <v>2024-W41</v>
      </c>
      <c r="M21" s="15">
        <v>11</v>
      </c>
    </row>
    <row r="22" spans="6:13" x14ac:dyDescent="0.3">
      <c r="F22" s="21" t="str">
        <v>2024-W41</v>
      </c>
      <c r="G22" s="21">
        <v>29</v>
      </c>
      <c r="I22" s="15" t="str">
        <v>2024-W41</v>
      </c>
      <c r="J22" s="15">
        <v>27</v>
      </c>
      <c r="L22" s="15" t="str">
        <v>2024-W42</v>
      </c>
      <c r="M22" s="15">
        <v>13</v>
      </c>
    </row>
    <row r="23" spans="6:13" x14ac:dyDescent="0.3">
      <c r="F23" s="21" t="str">
        <v>2024-W42</v>
      </c>
      <c r="G23" s="21">
        <v>28</v>
      </c>
      <c r="I23" s="15" t="str">
        <v>2024-W42</v>
      </c>
      <c r="J23" s="15">
        <v>26</v>
      </c>
      <c r="L23" s="15" t="str">
        <v>2024-W43</v>
      </c>
      <c r="M23" s="15">
        <v>10</v>
      </c>
    </row>
    <row r="24" spans="6:13" x14ac:dyDescent="0.3">
      <c r="F24" s="21" t="str">
        <v>2024-W43</v>
      </c>
      <c r="G24" s="21">
        <v>27</v>
      </c>
      <c r="I24" s="15" t="str">
        <v>2024-W43</v>
      </c>
      <c r="J24" s="15">
        <v>24</v>
      </c>
      <c r="L24" s="15" t="str">
        <v>2024-W44</v>
      </c>
      <c r="M24" s="15">
        <v>24</v>
      </c>
    </row>
    <row r="25" spans="6:13" x14ac:dyDescent="0.3">
      <c r="F25" s="20" t="str">
        <v>2024-W44</v>
      </c>
      <c r="G25" s="20">
        <v>33</v>
      </c>
      <c r="H25" t="s">
        <v>1670</v>
      </c>
      <c r="I25" s="15" t="str">
        <v>2024-W44</v>
      </c>
      <c r="J25" s="15">
        <v>31</v>
      </c>
      <c r="L25" s="15" t="str">
        <v>2024-W45</v>
      </c>
      <c r="M25" s="15">
        <v>11</v>
      </c>
    </row>
    <row r="26" spans="6:13" x14ac:dyDescent="0.3">
      <c r="F26" s="21" t="str">
        <v>2024-W45</v>
      </c>
      <c r="G26" s="21">
        <v>21</v>
      </c>
      <c r="I26" s="15" t="str">
        <v>2024-W45</v>
      </c>
      <c r="J26" s="15">
        <v>20</v>
      </c>
      <c r="L26" s="15" t="str">
        <v>2024-W46</v>
      </c>
      <c r="M26" s="15">
        <v>12</v>
      </c>
    </row>
    <row r="27" spans="6:13" x14ac:dyDescent="0.3">
      <c r="F27" s="21" t="str">
        <v>2024-W46</v>
      </c>
      <c r="G27" s="21">
        <v>21</v>
      </c>
      <c r="I27" s="15" t="str">
        <v>2024-W46</v>
      </c>
      <c r="J27" s="15">
        <v>20</v>
      </c>
      <c r="L27" s="15" t="str">
        <v>2024-W47</v>
      </c>
      <c r="M27" s="15">
        <v>11</v>
      </c>
    </row>
    <row r="28" spans="6:13" x14ac:dyDescent="0.3">
      <c r="F28" s="21" t="str">
        <v>2024-W47</v>
      </c>
      <c r="G28" s="21">
        <v>21</v>
      </c>
      <c r="I28" s="15" t="str">
        <v>2024-W47</v>
      </c>
      <c r="J28" s="15">
        <v>20</v>
      </c>
      <c r="L28" s="15" t="str">
        <v>2024-W48</v>
      </c>
      <c r="M28" s="15">
        <v>13</v>
      </c>
    </row>
    <row r="29" spans="6:13" x14ac:dyDescent="0.3">
      <c r="F29" s="21" t="str">
        <v>2024-W48</v>
      </c>
      <c r="G29" s="21">
        <v>22</v>
      </c>
      <c r="I29" s="15" t="str">
        <v>2024-W48</v>
      </c>
      <c r="J29" s="15">
        <v>21</v>
      </c>
      <c r="L29" s="15" t="str">
        <v>2024-W49</v>
      </c>
      <c r="M29" s="15">
        <v>11</v>
      </c>
    </row>
    <row r="30" spans="6:13" x14ac:dyDescent="0.3">
      <c r="F30" s="21" t="str">
        <v>2024-W49</v>
      </c>
      <c r="G30" s="21">
        <v>28</v>
      </c>
      <c r="I30" s="15" t="str">
        <v>2024-W49</v>
      </c>
      <c r="J30" s="15">
        <v>27</v>
      </c>
      <c r="L30" s="15" t="str">
        <v>2024-W50</v>
      </c>
      <c r="M30" s="15">
        <v>16</v>
      </c>
    </row>
    <row r="31" spans="6:13" x14ac:dyDescent="0.3">
      <c r="F31" s="21" t="str">
        <v>2024-W50</v>
      </c>
      <c r="G31" s="21">
        <v>28</v>
      </c>
      <c r="I31" s="15" t="str">
        <v>2024-W50</v>
      </c>
      <c r="J31" s="15">
        <v>27</v>
      </c>
      <c r="L31" s="15" t="str">
        <v>2024-W51</v>
      </c>
      <c r="M31" s="15">
        <v>17</v>
      </c>
    </row>
    <row r="32" spans="6:13" x14ac:dyDescent="0.3">
      <c r="F32" s="21" t="str">
        <v>2024-W51</v>
      </c>
      <c r="G32" s="21">
        <v>28</v>
      </c>
      <c r="I32" s="15" t="str">
        <v>2024-W51</v>
      </c>
      <c r="J32" s="15">
        <v>28</v>
      </c>
      <c r="L32" s="15" t="str">
        <v>2024-W52</v>
      </c>
      <c r="M32" s="15">
        <v>17</v>
      </c>
    </row>
    <row r="33" spans="6:13" x14ac:dyDescent="0.3">
      <c r="F33" s="21" t="str">
        <v>2024-W52</v>
      </c>
      <c r="G33" s="21">
        <v>28</v>
      </c>
      <c r="I33" s="15" t="str">
        <v>2024-W52</v>
      </c>
      <c r="J33" s="15">
        <v>28</v>
      </c>
      <c r="L33" s="15" t="str">
        <v>2024-W53</v>
      </c>
      <c r="M33" s="15">
        <v>3</v>
      </c>
    </row>
    <row r="34" spans="6:13" x14ac:dyDescent="0.3">
      <c r="F34" s="21" t="str">
        <v>2024-W53</v>
      </c>
      <c r="G34" s="21">
        <v>5</v>
      </c>
      <c r="I34" s="15" t="str">
        <v>2024-W53</v>
      </c>
      <c r="J34" s="15">
        <v>5</v>
      </c>
      <c r="L34" s="14" t="str">
        <v>Grand Total</v>
      </c>
      <c r="M34" s="14">
        <v>180</v>
      </c>
    </row>
    <row r="35" spans="6:13" x14ac:dyDescent="0.3">
      <c r="F35" s="20" t="str">
        <v>Grand Total</v>
      </c>
      <c r="G35" s="20">
        <v>346</v>
      </c>
      <c r="I35" s="14" t="str">
        <v>Grand Total</v>
      </c>
      <c r="J35" s="14">
        <v>328</v>
      </c>
    </row>
    <row r="37" spans="6:13" ht="23.4" x14ac:dyDescent="0.45">
      <c r="I37" s="24" t="s">
        <v>1592</v>
      </c>
    </row>
    <row r="38" spans="6:13" x14ac:dyDescent="0.3">
      <c r="F38" s="19" t="s">
        <v>1671</v>
      </c>
    </row>
    <row r="39" spans="6:13" x14ac:dyDescent="0.3">
      <c r="F39" s="14" t="s">
        <v>1672</v>
      </c>
      <c r="G39" s="14" t="s">
        <v>1665</v>
      </c>
      <c r="H39" s="14" t="s">
        <v>1673</v>
      </c>
      <c r="I39" s="14" t="s">
        <v>1634</v>
      </c>
    </row>
    <row r="40" spans="6:13" x14ac:dyDescent="0.3">
      <c r="F40" s="14" t="s">
        <v>25</v>
      </c>
      <c r="G40" s="15">
        <f>COUNTIFS(urbanthreads_q4[Type],"New")</f>
        <v>270</v>
      </c>
      <c r="H40" s="25">
        <f>SUMIFS(urbanthreads_q4[Net revenue],urbanthreads_q4[Type],"New") /
 COUNTIFS(urbanthreads_q4[Type],"New")</f>
        <v>2913.8666666666668</v>
      </c>
      <c r="I40" s="16">
        <f>Working_Analysis!E50</f>
        <v>0.5810276679841897</v>
      </c>
    </row>
    <row r="41" spans="6:13" x14ac:dyDescent="0.3">
      <c r="F41" s="14" t="s">
        <v>39</v>
      </c>
      <c r="G41" s="15">
        <f>COUNTIFS(urbanthreads_q4[Type],"Returning")</f>
        <v>76</v>
      </c>
      <c r="H41" s="25">
        <f>SUMIFS(urbanthreads_q4[Net revenue],urbanthreads_q4[Type],"Returning") /
 COUNTIFS(urbanthreads_q4[Type],"Returning")</f>
        <v>3074.6710526315787</v>
      </c>
      <c r="I41" s="16">
        <f>Working_Analysis!E51</f>
        <v>0.44</v>
      </c>
    </row>
    <row r="43" spans="6:13" x14ac:dyDescent="0.3">
      <c r="F43" s="19" t="s">
        <v>1680</v>
      </c>
    </row>
    <row r="44" spans="6:13" x14ac:dyDescent="0.3">
      <c r="F44" s="31" t="s">
        <v>13</v>
      </c>
      <c r="G44" s="14" t="s">
        <v>1665</v>
      </c>
      <c r="H44" s="14" t="s">
        <v>1673</v>
      </c>
      <c r="I44" s="14" t="s">
        <v>1634</v>
      </c>
    </row>
    <row r="45" spans="6:13" x14ac:dyDescent="0.3">
      <c r="F45" s="31" t="s">
        <v>66</v>
      </c>
      <c r="G45" s="27">
        <f>COUNTIFS(urbanthreads_q4[Source],"Instagram Shop")</f>
        <v>109</v>
      </c>
      <c r="H45" s="29">
        <f>SUMIFS(urbanthreads_q4[Net revenue],urbanthreads_q4[Source],"Instagram Shop") /
 COUNTIFS(urbanthreads_q4[Source],"Instagram Shop")</f>
        <v>3069.5963302752293</v>
      </c>
      <c r="I45" s="30">
        <f>Working_Analysis!E60</f>
        <v>0.67619047619047623</v>
      </c>
    </row>
    <row r="46" spans="6:13" x14ac:dyDescent="0.3">
      <c r="F46" s="31" t="s">
        <v>45</v>
      </c>
      <c r="G46" s="27">
        <f>COUNTIFS(urbanthreads_q4[Source],"Mobile App")</f>
        <v>116</v>
      </c>
      <c r="H46" s="29">
        <f>SUMIFS(urbanthreads_q4[Net revenue],urbanthreads_q4[Source],"Mobile App") /
 COUNTIFS(urbanthreads_q4[Source],"Mobile App")</f>
        <v>2832.2758620689656</v>
      </c>
      <c r="I46" s="30">
        <f>Working_Analysis!E61</f>
        <v>0.56481481481481477</v>
      </c>
    </row>
    <row r="47" spans="6:13" x14ac:dyDescent="0.3">
      <c r="F47" s="31" t="s">
        <v>31</v>
      </c>
      <c r="G47" s="27">
        <f>COUNTIFS(urbanthreads_q4[Source],"Website")</f>
        <v>121</v>
      </c>
      <c r="H47" s="29">
        <f>SUMIFS(urbanthreads_q4[Net revenue],urbanthreads_q4[Source],"Website") /
 COUNTIFS(urbanthreads_q4[Source],"Website")</f>
        <v>2952.8016528925618</v>
      </c>
      <c r="I47" s="30">
        <f>Working_Analysis!E62</f>
        <v>0.41739130434782606</v>
      </c>
    </row>
    <row r="48" spans="6:13" x14ac:dyDescent="0.3">
      <c r="H48" s="28"/>
    </row>
    <row r="49" spans="6:11" x14ac:dyDescent="0.3">
      <c r="F49" s="26" t="s">
        <v>1681</v>
      </c>
    </row>
    <row r="50" spans="6:11" x14ac:dyDescent="0.3">
      <c r="F50" s="31" t="s">
        <v>1682</v>
      </c>
      <c r="G50" s="14" t="s">
        <v>1665</v>
      </c>
      <c r="H50" s="14" t="s">
        <v>1634</v>
      </c>
    </row>
    <row r="51" spans="6:11" x14ac:dyDescent="0.3">
      <c r="F51" s="31" t="s">
        <v>56</v>
      </c>
      <c r="G51" s="15">
        <f>GETPIVOTDATA("Order ID",Working_Analysis!$D$76,"Payment Type","COD")</f>
        <v>63</v>
      </c>
      <c r="H51" s="16">
        <f>Working_Analysis!E81</f>
        <v>0.82608695652173914</v>
      </c>
    </row>
    <row r="52" spans="6:11" x14ac:dyDescent="0.3">
      <c r="F52" s="31" t="s">
        <v>1612</v>
      </c>
      <c r="G52" s="15">
        <f>GETPIVOTDATA("Order ID",Working_Analysis!$D$76,"Payment Type","Prepaid")</f>
        <v>283</v>
      </c>
      <c r="H52" s="16">
        <f>Working_Analysis!E82</f>
        <v>0.50354609929078009</v>
      </c>
    </row>
    <row r="54" spans="6:11" x14ac:dyDescent="0.3">
      <c r="F54" s="19" t="s">
        <v>1683</v>
      </c>
    </row>
    <row r="55" spans="6:11" x14ac:dyDescent="0.3">
      <c r="F55" s="31" t="s">
        <v>5</v>
      </c>
      <c r="G55" s="14" t="s">
        <v>1665</v>
      </c>
      <c r="H55" s="14" t="s">
        <v>1634</v>
      </c>
    </row>
    <row r="56" spans="6:11" x14ac:dyDescent="0.3">
      <c r="F56" s="31" t="s">
        <v>72</v>
      </c>
      <c r="G56" s="21">
        <f>GETPIVOTDATA("Order ID",Working_Analysis!$D$87,"Category","Accessories")</f>
        <v>68</v>
      </c>
      <c r="H56" s="32">
        <f>Working_Analysis!E95</f>
        <v>0.24615384615384617</v>
      </c>
    </row>
    <row r="57" spans="6:11" x14ac:dyDescent="0.3">
      <c r="F57" s="31" t="s">
        <v>54</v>
      </c>
      <c r="G57" s="21">
        <f>GETPIVOTDATA("Order ID",Working_Analysis!$D$87,"Category","Bottoms")</f>
        <v>67</v>
      </c>
      <c r="H57" s="32">
        <f>Working_Analysis!E96</f>
        <v>0.38461538461538464</v>
      </c>
    </row>
    <row r="58" spans="6:11" x14ac:dyDescent="0.3">
      <c r="F58" s="31" t="s">
        <v>41</v>
      </c>
      <c r="G58" s="21">
        <f>GETPIVOTDATA("Order ID",Working_Analysis!$D$87,"Category","Dresses")</f>
        <v>70</v>
      </c>
      <c r="H58" s="32">
        <f>Working_Analysis!E97</f>
        <v>0.66666666666666663</v>
      </c>
    </row>
    <row r="59" spans="6:11" x14ac:dyDescent="0.3">
      <c r="F59" s="31" t="s">
        <v>62</v>
      </c>
      <c r="G59" s="21">
        <f>GETPIVOTDATA("Order ID",Working_Analysis!$D$87,"Category","Outerwear")</f>
        <v>68</v>
      </c>
      <c r="H59" s="32">
        <f>Working_Analysis!E98</f>
        <v>0.8</v>
      </c>
    </row>
    <row r="60" spans="6:11" x14ac:dyDescent="0.3">
      <c r="F60" s="31" t="s">
        <v>27</v>
      </c>
      <c r="G60" s="21">
        <f>GETPIVOTDATA("Order ID",Working_Analysis!$D$87,"Category","Tops")</f>
        <v>73</v>
      </c>
      <c r="H60" s="32">
        <f>Working_Analysis!E99</f>
        <v>0.64179104477611937</v>
      </c>
    </row>
    <row r="62" spans="6:11" ht="23.4" x14ac:dyDescent="0.45">
      <c r="I62" s="24" t="s">
        <v>1684</v>
      </c>
    </row>
    <row r="63" spans="6:11" ht="15.6" x14ac:dyDescent="0.3">
      <c r="F63" s="31" t="s">
        <v>1685</v>
      </c>
      <c r="G63" s="14" t="s">
        <v>1686</v>
      </c>
      <c r="I63" s="19"/>
      <c r="J63" s="33" t="s">
        <v>1688</v>
      </c>
    </row>
    <row r="64" spans="6:11" x14ac:dyDescent="0.3">
      <c r="F64" s="31" t="s">
        <v>1630</v>
      </c>
      <c r="G64" s="15">
        <f>SUM(urbanthreads_q4[Total])</f>
        <v>1023789</v>
      </c>
      <c r="I64" s="14" t="str" cm="1">
        <f t="array" ref="I64:K68">Working_Analysis!F113:H117</f>
        <v xml:space="preserve">Warehouse </v>
      </c>
      <c r="J64" s="14" t="str">
        <v>Orders Handled by warehouse</v>
      </c>
      <c r="K64" s="14" t="str">
        <v>Percentage</v>
      </c>
    </row>
    <row r="65" spans="6:11" x14ac:dyDescent="0.3">
      <c r="F65" s="31" t="s">
        <v>1632</v>
      </c>
      <c r="G65" s="15">
        <f>SUM(urbanthreads_q4[Net revenue])</f>
        <v>1020419</v>
      </c>
      <c r="I65" s="14" t="str">
        <v>Bangalore</v>
      </c>
      <c r="J65" s="14">
        <v>93</v>
      </c>
      <c r="K65" s="17">
        <v>0.26878612716763006</v>
      </c>
    </row>
    <row r="66" spans="6:11" x14ac:dyDescent="0.3">
      <c r="F66" s="31" t="s">
        <v>1661</v>
      </c>
      <c r="G66" s="16">
        <f>Working_Analysis!E15</f>
        <v>0.54878048780487809</v>
      </c>
      <c r="I66" s="14" t="str">
        <v>Delhi</v>
      </c>
      <c r="J66" s="14">
        <v>132</v>
      </c>
      <c r="K66" s="17">
        <v>0.38150289017341038</v>
      </c>
    </row>
    <row r="67" spans="6:11" x14ac:dyDescent="0.3">
      <c r="F67" s="31" t="s">
        <v>1636</v>
      </c>
      <c r="G67" s="16">
        <f>GETPIVOTDATA("Order ID",Working_Analysis!$F$102,"Status","RTO")/Working_Analysis!E13</f>
        <v>5.1829268292682924E-2</v>
      </c>
      <c r="I67" s="14" t="str">
        <v>Mumbai</v>
      </c>
      <c r="J67" s="14">
        <v>121</v>
      </c>
      <c r="K67" s="17">
        <v>0.34971098265895956</v>
      </c>
    </row>
    <row r="68" spans="6:11" x14ac:dyDescent="0.3">
      <c r="F68" s="31" t="s">
        <v>1638</v>
      </c>
      <c r="G68" s="16">
        <f>Working_Analysis!C106</f>
        <v>0.96111111111111114</v>
      </c>
      <c r="I68" s="14" t="str">
        <v>Grand Total</v>
      </c>
      <c r="J68" s="14">
        <v>346</v>
      </c>
      <c r="K68" s="17">
        <v>1</v>
      </c>
    </row>
    <row r="69" spans="6:11" x14ac:dyDescent="0.3">
      <c r="F69" s="31" t="s">
        <v>1687</v>
      </c>
      <c r="G69" s="16">
        <f>Working_Analysis!C107</f>
        <v>0.5810276679841897</v>
      </c>
    </row>
    <row r="70" spans="6:11" x14ac:dyDescent="0.3">
      <c r="F70" s="31" t="s">
        <v>1642</v>
      </c>
      <c r="G70" s="16">
        <f>Working_Analysis!C108</f>
        <v>0.44</v>
      </c>
    </row>
    <row r="72" spans="6:11" ht="23.4" x14ac:dyDescent="0.45">
      <c r="I72" s="24" t="s">
        <v>1691</v>
      </c>
    </row>
    <row r="91" spans="9:9" ht="23.4" x14ac:dyDescent="0.45">
      <c r="I91" s="24" t="s">
        <v>1712</v>
      </c>
    </row>
  </sheetData>
  <mergeCells count="2">
    <mergeCell ref="I1:J1"/>
    <mergeCell ref="I3:J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25B-921D-4022-82A2-24706A829DA6}">
  <dimension ref="D1:Q1"/>
  <sheetViews>
    <sheetView showGridLines="0" topLeftCell="A9" zoomScale="70" zoomScaleNormal="70" workbookViewId="0">
      <selection activeCell="Y20" sqref="Y20"/>
    </sheetView>
  </sheetViews>
  <sheetFormatPr defaultRowHeight="14.4" x14ac:dyDescent="0.3"/>
  <sheetData>
    <row r="1" spans="4:17" ht="22.8" x14ac:dyDescent="0.4">
      <c r="D1" s="43" t="s">
        <v>1709</v>
      </c>
      <c r="E1" s="43"/>
      <c r="F1" s="43"/>
      <c r="G1" s="43"/>
      <c r="H1" s="43"/>
      <c r="I1" s="43"/>
      <c r="J1" s="43"/>
      <c r="K1" s="43"/>
      <c r="L1" s="43"/>
      <c r="M1" s="43"/>
      <c r="N1" s="43"/>
      <c r="O1" s="43"/>
      <c r="P1" s="43"/>
      <c r="Q1" s="43"/>
    </row>
  </sheetData>
  <mergeCells count="1">
    <mergeCell ref="D1:Q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3684A-7EB9-4E8A-A498-616A19018E30}">
  <dimension ref="I1:L1"/>
  <sheetViews>
    <sheetView showGridLines="0" tabSelected="1" topLeftCell="A75" workbookViewId="0">
      <selection activeCell="B1" sqref="B1"/>
    </sheetView>
  </sheetViews>
  <sheetFormatPr defaultRowHeight="14.4" x14ac:dyDescent="0.3"/>
  <sheetData>
    <row r="1" spans="9:12" ht="25.8" x14ac:dyDescent="0.5">
      <c r="I1" s="44" t="s">
        <v>1713</v>
      </c>
      <c r="J1" s="45"/>
      <c r="K1" s="45"/>
      <c r="L1" s="45"/>
    </row>
  </sheetData>
  <mergeCells count="1">
    <mergeCell ref="I1:L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1E5119-B4C9-4050-B587-73A867FC32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Cleaning_log</vt:lpstr>
      <vt:lpstr>Validation_summary</vt:lpstr>
      <vt:lpstr>Working_Analysis</vt:lpstr>
      <vt:lpstr>Analysis</vt:lpstr>
      <vt:lpstr>Visualization</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zarkar</dc:creator>
  <cp:lastModifiedBy>shubham zarkar</cp:lastModifiedBy>
  <dcterms:created xsi:type="dcterms:W3CDTF">2026-02-04T07:17:27Z</dcterms:created>
  <dcterms:modified xsi:type="dcterms:W3CDTF">2026-02-09T15:21:25Z</dcterms:modified>
</cp:coreProperties>
</file>